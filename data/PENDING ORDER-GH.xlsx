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ECA2BB7-5B92-4242-A025-BF053E84308A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INCOMING PO" sheetId="1" r:id="rId1"/>
    <sheet name="OUTGOING PO" sheetId="2" r:id="rId2"/>
    <sheet name="SANKALP" sheetId="19" r:id="rId3"/>
    <sheet name="TATA STEEL" sheetId="17" r:id="rId4"/>
    <sheet name="Yuken" sheetId="13" r:id="rId5"/>
    <sheet name="Sheet1" sheetId="20" r:id="rId6"/>
    <sheet name="Sheet2" sheetId="21" r:id="rId7"/>
    <sheet name="Sheet3" sheetId="22" r:id="rId8"/>
  </sheets>
  <definedNames>
    <definedName name="_xlnm._FilterDatabase" localSheetId="0" hidden="1">'INCOMING PO'!$A$2:$N$61</definedName>
    <definedName name="_xlnm._FilterDatabase" localSheetId="3" hidden="1">'TATA STEEL'!$A$1:$L$118</definedName>
    <definedName name="_xlnm.Print_Area" localSheetId="0">'INCOMING PO'!$A$1:$K$1045946</definedName>
    <definedName name="_xlnm.Print_Titles" localSheetId="0">'INCOMING PO'!$2:$2</definedName>
    <definedName name="_xlnm.Print_Titles" localSheetId="1">'OUTGOING PO'!$3:$3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" l="1"/>
  <c r="H37" i="1"/>
  <c r="H36" i="1"/>
  <c r="H35" i="1"/>
  <c r="H34" i="1"/>
  <c r="I13" i="22"/>
  <c r="I27" i="22"/>
  <c r="G106" i="17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2" i="22"/>
  <c r="I11" i="22"/>
  <c r="I10" i="22"/>
  <c r="I9" i="22"/>
  <c r="I8" i="22"/>
  <c r="I7" i="22"/>
  <c r="I6" i="22"/>
  <c r="I5" i="22"/>
  <c r="I4" i="22"/>
  <c r="I3" i="22"/>
  <c r="I2" i="22"/>
  <c r="H41" i="1" l="1"/>
  <c r="H26" i="1"/>
  <c r="H15" i="1"/>
  <c r="H12" i="1"/>
  <c r="H13" i="1"/>
  <c r="H11" i="1"/>
  <c r="G39" i="19" l="1"/>
  <c r="G256" i="17"/>
  <c r="H163" i="1"/>
  <c r="H225" i="2" l="1"/>
  <c r="H224" i="2"/>
  <c r="H222" i="2"/>
  <c r="H219" i="2"/>
  <c r="H218" i="2"/>
  <c r="H217" i="2"/>
  <c r="H216" i="2"/>
  <c r="H215" i="2"/>
  <c r="H214" i="2"/>
  <c r="H213" i="2"/>
  <c r="H278" i="2"/>
  <c r="I237" i="17"/>
  <c r="I238" i="17"/>
  <c r="I236" i="17"/>
  <c r="I228" i="17"/>
  <c r="I227" i="17"/>
  <c r="I226" i="17"/>
  <c r="I225" i="17"/>
  <c r="I224" i="17"/>
  <c r="I223" i="17"/>
  <c r="I222" i="17"/>
  <c r="I221" i="17"/>
  <c r="E33" i="19" l="1"/>
  <c r="E25" i="19"/>
  <c r="G95" i="19"/>
  <c r="G94" i="19"/>
  <c r="G93" i="19"/>
  <c r="G92" i="19"/>
  <c r="G91" i="19"/>
  <c r="G90" i="19"/>
  <c r="G89" i="19"/>
  <c r="G88" i="19"/>
  <c r="G87" i="19"/>
  <c r="G86" i="19"/>
  <c r="G85" i="19"/>
  <c r="G83" i="19"/>
  <c r="G82" i="19"/>
  <c r="G81" i="19"/>
  <c r="G80" i="19"/>
  <c r="G79" i="19"/>
  <c r="G78" i="19"/>
  <c r="G77" i="19"/>
  <c r="G76" i="19"/>
  <c r="G75" i="19"/>
  <c r="G74" i="19"/>
  <c r="G73" i="19"/>
  <c r="G72" i="19"/>
  <c r="G84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9" i="19"/>
  <c r="G110" i="19"/>
  <c r="G111" i="19"/>
  <c r="G112" i="19"/>
  <c r="G113" i="19"/>
  <c r="G114" i="19"/>
  <c r="G71" i="19"/>
  <c r="G70" i="19"/>
  <c r="G69" i="19"/>
  <c r="G68" i="19"/>
  <c r="G67" i="19"/>
  <c r="G66" i="19"/>
  <c r="G65" i="19"/>
  <c r="G64" i="19"/>
  <c r="G63" i="19"/>
  <c r="G62" i="19"/>
  <c r="G61" i="19"/>
  <c r="G60" i="19"/>
  <c r="G59" i="19"/>
  <c r="H298" i="2" l="1"/>
  <c r="H297" i="2"/>
  <c r="H24" i="1"/>
  <c r="H25" i="1"/>
  <c r="H23" i="1"/>
  <c r="H33" i="1"/>
  <c r="F32" i="1"/>
  <c r="H32" i="1" s="1"/>
  <c r="H38" i="2"/>
  <c r="H37" i="2"/>
  <c r="H36" i="2"/>
  <c r="H299" i="2" l="1"/>
  <c r="H35" i="2"/>
  <c r="H270" i="2"/>
  <c r="H269" i="2"/>
  <c r="H268" i="2"/>
  <c r="H267" i="2"/>
  <c r="H263" i="2"/>
  <c r="H262" i="2"/>
  <c r="H261" i="2"/>
  <c r="H260" i="2"/>
  <c r="H259" i="2"/>
  <c r="H258" i="2"/>
  <c r="H257" i="2"/>
  <c r="H256" i="2"/>
  <c r="H255" i="2"/>
  <c r="H254" i="2"/>
  <c r="H253" i="2"/>
  <c r="I195" i="17" l="1"/>
  <c r="I194" i="17"/>
  <c r="I193" i="17"/>
  <c r="I192" i="17"/>
  <c r="I191" i="17"/>
  <c r="I190" i="17"/>
  <c r="I189" i="17"/>
  <c r="I188" i="17"/>
  <c r="I187" i="17"/>
  <c r="I186" i="17"/>
  <c r="I185" i="17"/>
  <c r="I184" i="17"/>
  <c r="I183" i="17"/>
  <c r="I182" i="17"/>
  <c r="I239" i="17"/>
  <c r="I235" i="17"/>
  <c r="I234" i="17"/>
  <c r="I233" i="17"/>
  <c r="I232" i="17"/>
  <c r="I231" i="17"/>
  <c r="I230" i="17"/>
  <c r="I229" i="17"/>
  <c r="I220" i="17"/>
  <c r="I219" i="17"/>
  <c r="I218" i="17"/>
  <c r="I217" i="17"/>
  <c r="I216" i="17"/>
  <c r="I215" i="17"/>
  <c r="I214" i="17"/>
  <c r="I213" i="17"/>
  <c r="I212" i="17"/>
  <c r="I211" i="17"/>
  <c r="I210" i="17"/>
  <c r="I209" i="17"/>
  <c r="I208" i="17"/>
  <c r="I207" i="17"/>
  <c r="H39" i="1" l="1"/>
  <c r="I206" i="17" l="1"/>
  <c r="I205" i="17"/>
  <c r="I204" i="17"/>
  <c r="I203" i="17"/>
  <c r="I202" i="17"/>
  <c r="I201" i="17"/>
  <c r="I200" i="17"/>
  <c r="I199" i="17"/>
  <c r="I198" i="17"/>
  <c r="I197" i="17"/>
  <c r="I196" i="17"/>
  <c r="H160" i="1"/>
  <c r="H47" i="1" l="1"/>
  <c r="H52" i="1" l="1"/>
  <c r="H273" i="2"/>
  <c r="F238" i="2" l="1"/>
  <c r="F113" i="1"/>
  <c r="F112" i="1"/>
  <c r="F111" i="1"/>
  <c r="H277" i="2"/>
  <c r="H276" i="2"/>
  <c r="H275" i="2"/>
  <c r="H203" i="2"/>
  <c r="H206" i="2"/>
  <c r="H205" i="2"/>
  <c r="H204" i="2"/>
  <c r="H202" i="2"/>
  <c r="H201" i="2"/>
  <c r="H208" i="2"/>
  <c r="H200" i="2"/>
  <c r="H199" i="2"/>
  <c r="H198" i="2"/>
  <c r="H197" i="2"/>
  <c r="I180" i="17"/>
  <c r="I176" i="17"/>
  <c r="I175" i="17"/>
  <c r="I174" i="17"/>
  <c r="I173" i="17"/>
  <c r="H122" i="1"/>
  <c r="H123" i="1"/>
  <c r="H121" i="1"/>
  <c r="H120" i="1"/>
  <c r="H119" i="1"/>
  <c r="H118" i="1"/>
  <c r="I168" i="17"/>
  <c r="I166" i="17"/>
  <c r="I165" i="17"/>
  <c r="I164" i="17"/>
  <c r="I163" i="17"/>
  <c r="I162" i="17"/>
  <c r="I161" i="17"/>
  <c r="I160" i="17"/>
  <c r="I159" i="17"/>
  <c r="I158" i="17"/>
  <c r="I179" i="17"/>
  <c r="H27" i="1"/>
  <c r="H22" i="1"/>
  <c r="H21" i="1"/>
  <c r="H113" i="1" l="1"/>
  <c r="H110" i="1"/>
  <c r="H109" i="1"/>
  <c r="H108" i="1"/>
  <c r="H107" i="1"/>
  <c r="H106" i="1"/>
  <c r="H46" i="1"/>
  <c r="H20" i="1" l="1"/>
  <c r="H19" i="1"/>
  <c r="H18" i="1"/>
  <c r="H17" i="1"/>
  <c r="H164" i="2"/>
  <c r="H167" i="1"/>
  <c r="H168" i="1" s="1"/>
  <c r="H16" i="1"/>
  <c r="H14" i="1"/>
  <c r="I177" i="17" l="1"/>
  <c r="I178" i="17"/>
  <c r="I171" i="17"/>
  <c r="I170" i="17"/>
  <c r="G58" i="19"/>
  <c r="H247" i="2" l="1"/>
  <c r="H246" i="2"/>
  <c r="H245" i="2"/>
  <c r="H244" i="2"/>
  <c r="H251" i="2"/>
  <c r="H250" i="2"/>
  <c r="H249" i="2"/>
  <c r="H248" i="2"/>
  <c r="I181" i="17" l="1"/>
  <c r="I172" i="17"/>
  <c r="I169" i="17"/>
  <c r="H20" i="2"/>
  <c r="H18" i="2"/>
  <c r="H17" i="2"/>
  <c r="H16" i="2"/>
  <c r="H15" i="2"/>
  <c r="I155" i="17"/>
  <c r="I167" i="17"/>
  <c r="I157" i="17"/>
  <c r="H295" i="2"/>
  <c r="H296" i="2" s="1"/>
  <c r="I68" i="17"/>
  <c r="H211" i="2" l="1"/>
  <c r="H210" i="2"/>
  <c r="H209" i="2"/>
  <c r="H207" i="2"/>
  <c r="G50" i="19" l="1"/>
  <c r="G49" i="19"/>
  <c r="G48" i="19"/>
  <c r="G47" i="19"/>
  <c r="G46" i="19"/>
  <c r="G45" i="19"/>
  <c r="G44" i="19"/>
  <c r="G43" i="19"/>
  <c r="E42" i="19"/>
  <c r="G42" i="19" s="1"/>
  <c r="G41" i="19"/>
  <c r="H14" i="2"/>
  <c r="H13" i="2"/>
  <c r="H12" i="2"/>
  <c r="H11" i="2"/>
  <c r="I141" i="17" l="1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6" i="17"/>
  <c r="I139" i="17"/>
  <c r="G5" i="17"/>
  <c r="G4" i="17"/>
  <c r="I138" i="17" l="1"/>
  <c r="H31" i="2"/>
  <c r="H30" i="2"/>
  <c r="H29" i="2"/>
  <c r="H28" i="2"/>
  <c r="H151" i="1"/>
  <c r="H150" i="1"/>
  <c r="H149" i="1"/>
  <c r="H293" i="2"/>
  <c r="H294" i="2" s="1"/>
  <c r="H291" i="2"/>
  <c r="H292" i="2" s="1"/>
  <c r="H289" i="2"/>
  <c r="H290" i="2" s="1"/>
  <c r="H287" i="2"/>
  <c r="H288" i="2" s="1"/>
  <c r="H152" i="1" l="1"/>
  <c r="I137" i="17"/>
  <c r="H285" i="2"/>
  <c r="H284" i="2"/>
  <c r="H196" i="2"/>
  <c r="H97" i="1"/>
  <c r="H96" i="1"/>
  <c r="H286" i="2" l="1"/>
  <c r="H57" i="1"/>
  <c r="H164" i="1"/>
  <c r="H165" i="1" s="1"/>
  <c r="H67" i="1" l="1"/>
  <c r="H66" i="1"/>
  <c r="F65" i="1"/>
  <c r="H65" i="1" s="1"/>
  <c r="F64" i="1"/>
  <c r="H64" i="1" s="1"/>
  <c r="H27" i="2"/>
  <c r="H26" i="2"/>
  <c r="H25" i="2"/>
  <c r="I140" i="17" l="1"/>
  <c r="I136" i="17"/>
  <c r="I135" i="17"/>
  <c r="H162" i="2"/>
  <c r="H160" i="2"/>
  <c r="H159" i="2"/>
  <c r="H158" i="2"/>
  <c r="I133" i="17"/>
  <c r="H33" i="2"/>
  <c r="M57" i="13"/>
  <c r="K57" i="13"/>
  <c r="L57" i="13"/>
  <c r="I132" i="17" l="1"/>
  <c r="I131" i="17"/>
  <c r="H282" i="2"/>
  <c r="H281" i="2"/>
  <c r="H280" i="2"/>
  <c r="F169" i="2"/>
  <c r="F167" i="2"/>
  <c r="H69" i="1"/>
  <c r="H68" i="1"/>
  <c r="E37" i="19"/>
  <c r="E23" i="19"/>
  <c r="E24" i="19"/>
  <c r="H283" i="2" l="1"/>
  <c r="H274" i="2"/>
  <c r="G57" i="19"/>
  <c r="G56" i="19"/>
  <c r="F7" i="1"/>
  <c r="H48" i="1"/>
  <c r="H45" i="1"/>
  <c r="F168" i="2" l="1"/>
  <c r="I128" i="17" l="1"/>
  <c r="I127" i="17"/>
  <c r="I126" i="17"/>
  <c r="H192" i="2" l="1"/>
  <c r="H193" i="2"/>
  <c r="H191" i="2"/>
  <c r="H190" i="2"/>
  <c r="H189" i="2"/>
  <c r="H165" i="2"/>
  <c r="I130" i="17"/>
  <c r="I129" i="17"/>
  <c r="I134" i="17"/>
  <c r="I125" i="17"/>
  <c r="I124" i="17"/>
  <c r="I123" i="17"/>
  <c r="F93" i="1" l="1"/>
  <c r="H159" i="1" l="1"/>
  <c r="H158" i="1"/>
  <c r="H157" i="1"/>
  <c r="I121" i="17"/>
  <c r="H161" i="1" l="1"/>
  <c r="H265" i="2"/>
  <c r="H266" i="2"/>
  <c r="H271" i="2"/>
  <c r="H272" i="2"/>
  <c r="G55" i="19"/>
  <c r="G54" i="19"/>
  <c r="G53" i="19"/>
  <c r="G52" i="19"/>
  <c r="G51" i="19"/>
  <c r="G40" i="19"/>
  <c r="G38" i="19"/>
  <c r="G37" i="19"/>
  <c r="G36" i="19"/>
  <c r="G35" i="19"/>
  <c r="G34" i="19"/>
  <c r="G33" i="19"/>
  <c r="G32" i="19"/>
  <c r="G31" i="19"/>
  <c r="G30" i="19"/>
  <c r="G29" i="19"/>
  <c r="G28" i="19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E7" i="19"/>
  <c r="G7" i="19" s="1"/>
  <c r="G6" i="19"/>
  <c r="G5" i="19"/>
  <c r="E4" i="19"/>
  <c r="G4" i="19" s="1"/>
  <c r="E3" i="19"/>
  <c r="G3" i="19" s="1"/>
  <c r="G2" i="19"/>
  <c r="I119" i="17"/>
  <c r="I120" i="17"/>
  <c r="I122" i="17"/>
  <c r="I118" i="17"/>
  <c r="H139" i="2"/>
  <c r="H138" i="2"/>
  <c r="I117" i="17"/>
  <c r="I115" i="17"/>
  <c r="I114" i="17"/>
  <c r="H32" i="2"/>
  <c r="H70" i="1"/>
  <c r="H63" i="1"/>
  <c r="I116" i="17"/>
  <c r="H132" i="1"/>
  <c r="G115" i="19" l="1"/>
  <c r="H163" i="2"/>
  <c r="H161" i="2"/>
  <c r="H195" i="2"/>
  <c r="H194" i="2"/>
  <c r="H9" i="1"/>
  <c r="H10" i="1"/>
  <c r="H8" i="1"/>
  <c r="I112" i="17"/>
  <c r="H9" i="20"/>
  <c r="H243" i="2"/>
  <c r="H7" i="1"/>
  <c r="H103" i="1"/>
  <c r="H104" i="1" s="1"/>
  <c r="H140" i="2"/>
  <c r="H136" i="2" l="1"/>
  <c r="H135" i="2"/>
  <c r="H157" i="2"/>
  <c r="H130" i="1" l="1"/>
  <c r="H129" i="1"/>
  <c r="H128" i="1"/>
  <c r="H127" i="1"/>
  <c r="H126" i="1"/>
  <c r="H131" i="1"/>
  <c r="I110" i="17"/>
  <c r="I109" i="17"/>
  <c r="I108" i="17"/>
  <c r="I107" i="17"/>
  <c r="I106" i="17"/>
  <c r="I105" i="17"/>
  <c r="I104" i="17"/>
  <c r="H6" i="1"/>
  <c r="H10" i="2"/>
  <c r="H19" i="2"/>
  <c r="H21" i="2"/>
  <c r="H22" i="2"/>
  <c r="H23" i="2"/>
  <c r="H9" i="2"/>
  <c r="H8" i="2"/>
  <c r="H240" i="2"/>
  <c r="H239" i="2"/>
  <c r="H238" i="2"/>
  <c r="H237" i="2"/>
  <c r="H241" i="2"/>
  <c r="H115" i="1"/>
  <c r="H111" i="1"/>
  <c r="H186" i="2" l="1"/>
  <c r="H188" i="2"/>
  <c r="H187" i="2"/>
  <c r="H185" i="2"/>
  <c r="H99" i="1"/>
  <c r="H154" i="1" l="1"/>
  <c r="H155" i="1" s="1"/>
  <c r="I113" i="17"/>
  <c r="H156" i="2"/>
  <c r="H184" i="2"/>
  <c r="H135" i="1"/>
  <c r="I103" i="17"/>
  <c r="I102" i="17"/>
  <c r="I101" i="17"/>
  <c r="I100" i="17"/>
  <c r="I99" i="17"/>
  <c r="I98" i="17"/>
  <c r="I97" i="17"/>
  <c r="I96" i="17"/>
  <c r="I95" i="17"/>
  <c r="I94" i="17"/>
  <c r="I93" i="17"/>
  <c r="I244" i="17"/>
  <c r="H229" i="2"/>
  <c r="H226" i="2"/>
  <c r="H223" i="2"/>
  <c r="H221" i="2"/>
  <c r="H220" i="2"/>
  <c r="I111" i="17" l="1"/>
  <c r="I92" i="17"/>
  <c r="I91" i="17"/>
  <c r="I90" i="17"/>
  <c r="I89" i="17"/>
  <c r="I88" i="17"/>
  <c r="I87" i="17"/>
  <c r="I86" i="17"/>
  <c r="I85" i="17"/>
  <c r="I84" i="17"/>
  <c r="I83" i="17"/>
  <c r="I82" i="17"/>
  <c r="I81" i="17"/>
  <c r="I80" i="17"/>
  <c r="I79" i="17"/>
  <c r="I78" i="17"/>
  <c r="I77" i="17"/>
  <c r="I76" i="17"/>
  <c r="I75" i="17"/>
  <c r="I74" i="17"/>
  <c r="I73" i="17"/>
  <c r="I72" i="17"/>
  <c r="I71" i="17"/>
  <c r="I70" i="17"/>
  <c r="I69" i="17"/>
  <c r="I67" i="17"/>
  <c r="I66" i="17"/>
  <c r="I65" i="17"/>
  <c r="I64" i="17"/>
  <c r="I63" i="17"/>
  <c r="I62" i="17"/>
  <c r="I61" i="17"/>
  <c r="I60" i="17"/>
  <c r="I59" i="17"/>
  <c r="I58" i="17"/>
  <c r="I57" i="17"/>
  <c r="I56" i="17"/>
  <c r="I55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I40" i="17"/>
  <c r="I257" i="17"/>
  <c r="I256" i="17"/>
  <c r="I255" i="17"/>
  <c r="I254" i="17"/>
  <c r="I253" i="17"/>
  <c r="I251" i="17"/>
  <c r="I250" i="17"/>
  <c r="I249" i="17"/>
  <c r="I248" i="17"/>
  <c r="I247" i="17"/>
  <c r="I246" i="17"/>
  <c r="I245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G3" i="17"/>
  <c r="I3" i="17" s="1"/>
  <c r="I2" i="17"/>
  <c r="H183" i="2"/>
  <c r="H182" i="2"/>
  <c r="I240" i="17" l="1"/>
  <c r="H228" i="2"/>
  <c r="H143" i="2" l="1"/>
  <c r="H142" i="2"/>
  <c r="H141" i="2"/>
  <c r="H137" i="2"/>
  <c r="H145" i="2"/>
  <c r="H144" i="2"/>
  <c r="H242" i="2" l="1"/>
  <c r="H252" i="2" s="1"/>
  <c r="H146" i="2"/>
  <c r="H155" i="2"/>
  <c r="H154" i="2"/>
  <c r="H134" i="2"/>
  <c r="H153" i="2" l="1"/>
  <c r="H142" i="1" l="1"/>
  <c r="H141" i="1"/>
  <c r="H146" i="1"/>
  <c r="H145" i="1"/>
  <c r="H144" i="1"/>
  <c r="H143" i="1"/>
  <c r="H140" i="1"/>
  <c r="H139" i="1"/>
  <c r="H138" i="1"/>
  <c r="F41" i="2"/>
  <c r="H5" i="1"/>
  <c r="H147" i="1" l="1"/>
  <c r="H34" i="2"/>
  <c r="H39" i="2" s="1"/>
  <c r="H133" i="2"/>
  <c r="H53" i="1"/>
  <c r="H147" i="2"/>
  <c r="H227" i="2" l="1"/>
  <c r="H230" i="2" s="1"/>
  <c r="H264" i="2"/>
  <c r="H279" i="2" s="1"/>
  <c r="H235" i="2"/>
  <c r="H236" i="2" s="1"/>
  <c r="F4" i="1" l="1"/>
  <c r="H233" i="2"/>
  <c r="H234" i="2" s="1"/>
  <c r="H136" i="1"/>
  <c r="H133" i="1" l="1"/>
  <c r="H74" i="2" l="1"/>
  <c r="H75" i="2"/>
  <c r="H73" i="2"/>
  <c r="H72" i="2"/>
  <c r="H71" i="2"/>
  <c r="H70" i="2"/>
  <c r="H90" i="2"/>
  <c r="H181" i="2"/>
  <c r="H180" i="2"/>
  <c r="H179" i="2"/>
  <c r="H152" i="2"/>
  <c r="H132" i="2"/>
  <c r="H131" i="2"/>
  <c r="H130" i="2"/>
  <c r="H129" i="2"/>
  <c r="H128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115" i="2" l="1"/>
  <c r="H114" i="2"/>
  <c r="H113" i="2"/>
  <c r="H112" i="2"/>
  <c r="H92" i="2"/>
  <c r="H91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42" i="1" l="1"/>
  <c r="H38" i="1"/>
  <c r="H127" i="2"/>
  <c r="H126" i="2"/>
  <c r="H125" i="2"/>
  <c r="H124" i="2"/>
  <c r="H123" i="2"/>
  <c r="H122" i="2"/>
  <c r="H121" i="2"/>
  <c r="H120" i="2"/>
  <c r="H119" i="2"/>
  <c r="H118" i="2"/>
  <c r="H117" i="2"/>
  <c r="H116" i="2"/>
  <c r="H7" i="2"/>
  <c r="H149" i="2" l="1"/>
  <c r="F51" i="1" l="1"/>
  <c r="H124" i="1" l="1"/>
  <c r="H47" i="2" l="1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46" i="2"/>
  <c r="F45" i="2"/>
  <c r="H45" i="2" s="1"/>
  <c r="H44" i="2"/>
  <c r="H43" i="2"/>
  <c r="F42" i="2"/>
  <c r="H42" i="2" s="1"/>
  <c r="H41" i="2"/>
  <c r="H40" i="2"/>
  <c r="H178" i="2"/>
  <c r="H177" i="2"/>
  <c r="H148" i="2" l="1"/>
  <c r="H169" i="2"/>
  <c r="H168" i="2"/>
  <c r="H176" i="2" l="1"/>
  <c r="H172" i="2"/>
  <c r="H171" i="2"/>
  <c r="H170" i="2"/>
  <c r="H114" i="1" l="1"/>
  <c r="H175" i="2"/>
  <c r="H112" i="1" l="1"/>
  <c r="H60" i="1"/>
  <c r="H116" i="1" l="1"/>
  <c r="H151" i="2"/>
  <c r="H231" i="2"/>
  <c r="H232" i="2" l="1"/>
  <c r="H100" i="1"/>
  <c r="H98" i="1"/>
  <c r="H95" i="1"/>
  <c r="H94" i="1"/>
  <c r="H93" i="1"/>
  <c r="H85" i="1"/>
  <c r="H84" i="1"/>
  <c r="H83" i="1"/>
  <c r="H82" i="1"/>
  <c r="H81" i="1"/>
  <c r="H89" i="1"/>
  <c r="H88" i="1"/>
  <c r="H87" i="1"/>
  <c r="H86" i="1"/>
  <c r="H90" i="1"/>
  <c r="F31" i="1"/>
  <c r="H101" i="1" l="1"/>
  <c r="H91" i="1"/>
  <c r="H150" i="2"/>
  <c r="H167" i="2" l="1"/>
  <c r="H74" i="1" l="1"/>
  <c r="H75" i="1"/>
  <c r="F30" i="1" l="1"/>
  <c r="H30" i="1" s="1"/>
  <c r="H78" i="1" l="1"/>
  <c r="H79" i="1" s="1"/>
  <c r="H51" i="1" l="1"/>
  <c r="H76" i="1"/>
  <c r="H173" i="2" l="1"/>
  <c r="H24" i="2" l="1"/>
  <c r="H71" i="1" l="1"/>
  <c r="H72" i="1" s="1"/>
  <c r="H174" i="2" l="1"/>
  <c r="H212" i="2" s="1"/>
  <c r="H54" i="1" l="1"/>
  <c r="H166" i="2"/>
  <c r="H56" i="1" l="1"/>
  <c r="H58" i="1" s="1"/>
  <c r="H61" i="1" l="1"/>
  <c r="H4" i="1" l="1"/>
  <c r="H28" i="1" l="1"/>
  <c r="H31" i="1"/>
  <c r="H43" i="1" s="1"/>
  <c r="H49" i="1" l="1"/>
  <c r="H4" i="2" l="1"/>
  <c r="H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 NO - 1104005374</t>
        </r>
      </text>
    </comment>
    <comment ref="B7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NO - 1103991554</t>
        </r>
      </text>
    </comment>
    <comment ref="B15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NO - 1104022229</t>
        </r>
      </text>
    </comment>
    <comment ref="B16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NO - 1103991553</t>
        </r>
      </text>
    </comment>
    <comment ref="B40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NO - 1104024961 - User Milind 86688-19351 -Visit site before sending valve</t>
        </r>
      </text>
    </comment>
    <comment ref="B42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NO - 1104005804</t>
        </r>
      </text>
    </comment>
    <comment ref="B6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NO - 1104011176</t>
        </r>
      </text>
    </comment>
    <comment ref="B62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NO - 1104036008</t>
        </r>
      </text>
    </comment>
    <comment ref="B63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 NO - 1104041406</t>
        </r>
      </text>
    </comment>
    <comment ref="B7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USER:
RFQ NO - 1103993428</t>
        </r>
      </text>
    </comment>
    <comment ref="B7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NO -1104041865</t>
        </r>
      </text>
    </comment>
    <comment ref="B73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USER:
RFQ NO - 1104041824</t>
        </r>
      </text>
    </comment>
    <comment ref="B77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NO - 1104051176</t>
        </r>
      </text>
    </comment>
    <comment ref="B78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USER:
RFQ NO - 1104046558</t>
        </r>
      </text>
    </comment>
    <comment ref="B8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Cambria"/>
            <family val="1"/>
            <scheme val="major"/>
          </rPr>
          <t>RFQ NO - 1104075490</t>
        </r>
      </text>
    </comment>
    <comment ref="B84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NO- 1104070800</t>
        </r>
      </text>
    </comment>
    <comment ref="B8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NO- 1104049925</t>
        </r>
      </text>
    </comment>
    <comment ref="B87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NO- 1104064423</t>
        </r>
      </text>
    </comment>
    <comment ref="B88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NO- 1104067768</t>
        </r>
      </text>
    </comment>
    <comment ref="B89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</t>
        </r>
      </text>
    </comment>
    <comment ref="B90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NO- 1104030249
</t>
        </r>
      </text>
    </comment>
    <comment ref="B91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NO- 1104086854</t>
        </r>
      </text>
    </comment>
    <comment ref="B92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NO- 1104086854</t>
        </r>
      </text>
    </comment>
    <comment ref="B93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NO- 1104071894
</t>
        </r>
      </text>
    </comment>
    <comment ref="B103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</t>
        </r>
      </text>
    </comment>
    <comment ref="B104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NO- 1104078444</t>
        </r>
      </text>
    </comment>
    <comment ref="B105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NO- 1104100467</t>
        </r>
      </text>
    </comment>
    <comment ref="B106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NO - 1104100330</t>
        </r>
      </text>
    </comment>
    <comment ref="B107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RFQ NO - 1104088988
</t>
        </r>
      </text>
    </comment>
    <comment ref="B111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NO- 1104084874</t>
        </r>
      </text>
    </comment>
    <comment ref="B112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NO- 1104113000</t>
        </r>
      </text>
    </comment>
    <comment ref="B113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NO- 1104116750</t>
        </r>
      </text>
    </comment>
    <comment ref="B116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NO - 1104116757</t>
        </r>
      </text>
    </comment>
    <comment ref="B118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RFQ NO - 1104116124
</t>
        </r>
      </text>
    </comment>
    <comment ref="B122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NO- 1104116682</t>
        </r>
      </text>
    </comment>
    <comment ref="B123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NO - 1104103402</t>
        </r>
      </text>
    </comment>
    <comment ref="B124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RFQ NO - 1104135586
</t>
        </r>
      </text>
    </comment>
    <comment ref="B129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NO- 1104084698</t>
        </r>
      </text>
    </comment>
    <comment ref="B131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NO- 1104084698</t>
        </r>
      </text>
    </comment>
    <comment ref="B132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REF NO- </t>
        </r>
      </text>
    </comment>
    <comment ref="B133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REF NO- 1104154287</t>
        </r>
      </text>
    </comment>
    <comment ref="B134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REF NO- 1104151768</t>
        </r>
      </text>
    </comment>
    <comment ref="B135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RFQ NO - 1104124047
</t>
        </r>
      </text>
    </comment>
    <comment ref="B138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NO- 1104116004</t>
        </r>
      </text>
    </comment>
    <comment ref="B139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NO- 1104172258</t>
        </r>
      </text>
    </comment>
    <comment ref="B140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NO- 1104128991</t>
        </r>
      </text>
    </comment>
    <comment ref="B15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NO- 1104165946</t>
        </r>
      </text>
    </comment>
    <comment ref="B156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NO- 1104071465</t>
        </r>
      </text>
    </comment>
    <comment ref="B157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NO- 1104164291
</t>
        </r>
      </text>
    </comment>
    <comment ref="B160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NO - 1600332394</t>
        </r>
      </text>
    </comment>
    <comment ref="B162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NO - 1104181421</t>
        </r>
      </text>
    </comment>
    <comment ref="B166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NO- 1104077969</t>
        </r>
      </text>
    </comment>
    <comment ref="B167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NO- 1104138537</t>
        </r>
      </text>
    </comment>
    <comment ref="B170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NO - 1600332394</t>
        </r>
      </text>
    </comment>
    <comment ref="B176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NO - 1104165948</t>
        </r>
      </text>
    </comment>
    <comment ref="B177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NO- 1104132796</t>
        </r>
      </text>
    </comment>
    <comment ref="B182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NO- 11041545496</t>
        </r>
      </text>
    </comment>
    <comment ref="B196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NO- 1104158782</t>
        </r>
      </text>
    </comment>
    <comment ref="B207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- 1500197216</t>
        </r>
      </text>
    </comment>
    <comment ref="B229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NO- 1104114141
</t>
        </r>
      </text>
    </comment>
    <comment ref="B239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REF NO- 1104207946</t>
        </r>
      </text>
    </comment>
    <comment ref="B244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NO - 1600313746</t>
        </r>
      </text>
    </comment>
    <comment ref="B25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NO - 1600313637</t>
        </r>
      </text>
    </comment>
    <comment ref="B259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NO - 1600331905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NO - 1104021801</t>
        </r>
      </text>
    </comment>
    <comment ref="B8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NO - 1104014869</t>
        </r>
      </text>
    </comment>
    <comment ref="B9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NO - 1104028599</t>
        </r>
      </text>
    </comment>
    <comment ref="B13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NO - 1104064059</t>
        </r>
      </text>
    </comment>
    <comment ref="B14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NO- 1104030249
</t>
        </r>
      </text>
    </comment>
    <comment ref="B15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NO- 1104058645</t>
        </r>
      </text>
    </comment>
    <comment ref="B16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RFQ NO- 1104071894
</t>
        </r>
      </text>
    </comment>
    <comment ref="B26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NO - 1104100330</t>
        </r>
      </text>
    </comment>
    <comment ref="B27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RFQ NO - 1104113012</t>
        </r>
      </text>
    </comment>
  </commentList>
</comments>
</file>

<file path=xl/sharedStrings.xml><?xml version="1.0" encoding="utf-8"?>
<sst xmlns="http://schemas.openxmlformats.org/spreadsheetml/2006/main" count="3243" uniqueCount="1222">
  <si>
    <t>Due Date</t>
  </si>
  <si>
    <t>Qty</t>
  </si>
  <si>
    <t>Value</t>
  </si>
  <si>
    <t>Description</t>
  </si>
  <si>
    <t>Stock</t>
  </si>
  <si>
    <t>Order Placed To</t>
  </si>
  <si>
    <t>PENDING ORDER</t>
  </si>
  <si>
    <t>Price of each</t>
  </si>
  <si>
    <t>JSPL-RAIGARH</t>
  </si>
  <si>
    <t>Date</t>
  </si>
  <si>
    <t>Total</t>
  </si>
  <si>
    <t xml:space="preserve">Order no. </t>
  </si>
  <si>
    <t>TOTAL</t>
  </si>
  <si>
    <t>Sl No.</t>
  </si>
  <si>
    <t>Principal</t>
  </si>
  <si>
    <t>Product</t>
  </si>
  <si>
    <t>P.O. No.</t>
  </si>
  <si>
    <t>P.O. Date</t>
  </si>
  <si>
    <t>Rate Each</t>
  </si>
  <si>
    <t>OUTGOING P.O. DETAIL</t>
  </si>
  <si>
    <t>RSP SAIL</t>
  </si>
  <si>
    <t>YUKEN</t>
  </si>
  <si>
    <t>P.O. RECEIVED FROM</t>
  </si>
  <si>
    <t>PAYMENT TERMS</t>
  </si>
  <si>
    <t>30 DAYS</t>
  </si>
  <si>
    <t>COMMITTED DELIVERY DATE</t>
  </si>
  <si>
    <t>YUKEN INDIA</t>
  </si>
  <si>
    <t>DELVAL</t>
  </si>
  <si>
    <t>JSPL-R</t>
  </si>
  <si>
    <t>JSPL- ANGUL</t>
  </si>
  <si>
    <t>08 TO 10 WEEKS</t>
  </si>
  <si>
    <t>ISWP</t>
  </si>
  <si>
    <t>FLEXIBLE DRIVE COUPLING- YF-65220512-1CMD1</t>
  </si>
  <si>
    <t>14.03.2023</t>
  </si>
  <si>
    <t>DELIVERY DATE</t>
  </si>
  <si>
    <t>VARALKA</t>
  </si>
  <si>
    <t>PO CANCELLED</t>
  </si>
  <si>
    <t>JINDAL STAINLESS</t>
  </si>
  <si>
    <t>JSPL-A</t>
  </si>
  <si>
    <t>12 WEEKS</t>
  </si>
  <si>
    <t>SL NO</t>
  </si>
  <si>
    <t>10 TO 12 WEEKS</t>
  </si>
  <si>
    <t>SPLEDENT</t>
  </si>
  <si>
    <t>16 WEEKS</t>
  </si>
  <si>
    <t>DESCRIPTION</t>
  </si>
  <si>
    <t>REMARKS</t>
  </si>
  <si>
    <t>100% PYMT AGAINST RECEIPT MATERIAL</t>
  </si>
  <si>
    <t>PO NO</t>
  </si>
  <si>
    <t>QTY</t>
  </si>
  <si>
    <t>DELVAL FLOW</t>
  </si>
  <si>
    <t>RSP</t>
  </si>
  <si>
    <t xml:space="preserve"> 16 WEEKS</t>
  </si>
  <si>
    <t>SPLEDENT HYD</t>
  </si>
  <si>
    <t>14 WEEKS</t>
  </si>
  <si>
    <t>ELECTRO HYD</t>
  </si>
  <si>
    <t>IMFA- INDIAN METAILS</t>
  </si>
  <si>
    <t>CHECK VALVE- SL20 PB1-4X</t>
  </si>
  <si>
    <t>LD APPLICABLE</t>
  </si>
  <si>
    <t xml:space="preserve">APPLICABLE </t>
  </si>
  <si>
    <t>12.03.25</t>
  </si>
  <si>
    <t>10.07.25</t>
  </si>
  <si>
    <t>01.03.25</t>
  </si>
  <si>
    <t>JSOL- ANGUL</t>
  </si>
  <si>
    <t>JSOL</t>
  </si>
  <si>
    <t xml:space="preserve">IMFA </t>
  </si>
  <si>
    <t>SANKALP</t>
  </si>
  <si>
    <t>STOCK</t>
  </si>
  <si>
    <t>12 TO 14 WEEKS</t>
  </si>
  <si>
    <t>JSL</t>
  </si>
  <si>
    <t>AMPLIFIER CARD</t>
  </si>
  <si>
    <t>04 TO 05 WEEKS</t>
  </si>
  <si>
    <t>28.05-25</t>
  </si>
  <si>
    <t>CARTRIDGE VALVE-  R930069969 (OD150575A000000-VEI 016-NC-16A-A-05-0000;)</t>
  </si>
  <si>
    <t>VALVE- PN- R930069969</t>
  </si>
  <si>
    <t>37/25-26</t>
  </si>
  <si>
    <t>31.05-25</t>
  </si>
  <si>
    <t>01</t>
  </si>
  <si>
    <t>02</t>
  </si>
  <si>
    <t>03</t>
  </si>
  <si>
    <t>04</t>
  </si>
  <si>
    <t>Hengst Filtration Private Ltd</t>
  </si>
  <si>
    <t>HENGST</t>
  </si>
  <si>
    <t>TATA STEEL</t>
  </si>
  <si>
    <t>060/25-26</t>
  </si>
  <si>
    <t>END OF AUGUST</t>
  </si>
  <si>
    <t>FILTER ELEMENT-MF0060059 (D110G10BF/FD110-G10B-B3-Z4)</t>
  </si>
  <si>
    <t>17.07.25</t>
  </si>
  <si>
    <t xml:space="preserve"> PHE-V26PX92-NBR</t>
  </si>
  <si>
    <t>PHE- V62PX311-NBR</t>
  </si>
  <si>
    <t>PHE- V20DX60-NBR</t>
  </si>
  <si>
    <t>070/25-26</t>
  </si>
  <si>
    <t xml:space="preserve">ELECTRO HYDRO </t>
  </si>
  <si>
    <t>076/25-26</t>
  </si>
  <si>
    <t>24.07.25</t>
  </si>
  <si>
    <t>PHE PLATE PACK- VL41x100</t>
  </si>
  <si>
    <t>2 PHE PLATE PACK- VL31x50</t>
  </si>
  <si>
    <t>MOGLIX (Vedanta)  - JHARSUGUDA</t>
  </si>
  <si>
    <t>28.10.2025</t>
  </si>
  <si>
    <t>PENDING</t>
  </si>
  <si>
    <t>084/25-26</t>
  </si>
  <si>
    <t>PLATE HEAT EXCHNAGER- V62Px168</t>
  </si>
  <si>
    <t>PLATE HEAT EXCHANGER- V61Px50</t>
  </si>
  <si>
    <t>PLATE WITH GASKET- PG-V61P-NBR</t>
  </si>
  <si>
    <t>16 TO 18 WEEKS</t>
  </si>
  <si>
    <t>30.08.2025</t>
  </si>
  <si>
    <t>28.08.2025</t>
  </si>
  <si>
    <t>25.12.2025</t>
  </si>
  <si>
    <t>PLATE HEAT EXCHANGER- V83Px64-HNBR</t>
  </si>
  <si>
    <t>101/25-26</t>
  </si>
  <si>
    <t>28.12.2025</t>
  </si>
  <si>
    <t>CYLINDER;YL-65230223-4;HYD,100X45X650ST</t>
  </si>
  <si>
    <t>DALMIA BHARAT</t>
  </si>
  <si>
    <t>EMAMI PAPER MILLS</t>
  </si>
  <si>
    <t>FILTER- 02.0160.H6XL.A00.0.M</t>
  </si>
  <si>
    <t>FILTER- 2.0100H6XL-B00-0-M</t>
  </si>
  <si>
    <t>113/25-26</t>
  </si>
  <si>
    <t>27.12.2025</t>
  </si>
  <si>
    <t>PN- R900874811 (SEAL KIT- PV72X/20-25RAO1MAO10)</t>
  </si>
  <si>
    <t>122/25-26</t>
  </si>
  <si>
    <t>EMAMI</t>
  </si>
  <si>
    <t>4500038114- BALASORE</t>
  </si>
  <si>
    <t>03 TO 06 WEEKS</t>
  </si>
  <si>
    <t>DG5V-7-6N-M-U-A5-40</t>
  </si>
  <si>
    <t>DG5V-7-6N-M-U-A6-30</t>
  </si>
  <si>
    <t>remswegs</t>
  </si>
  <si>
    <t>01 NO DISPATCH</t>
  </si>
  <si>
    <t>129/25-26</t>
  </si>
  <si>
    <t>REMSWEGS</t>
  </si>
  <si>
    <t>SPINTECH TUBES PVT LTD</t>
  </si>
  <si>
    <t>STPL/PUMP/STRIP-MILL/25-26/7102025</t>
  </si>
  <si>
    <t>SUCTION STAINER- YSS-100G-10</t>
  </si>
  <si>
    <t>EPF-500-05-20</t>
  </si>
  <si>
    <t>ERF-950-10-20</t>
  </si>
  <si>
    <t>ERF-660-10-20</t>
  </si>
  <si>
    <t>SUCTION STAINER- YSS-65G-10</t>
  </si>
  <si>
    <t>EPF-330-03-20</t>
  </si>
  <si>
    <t>LSVG-03EH-60-WB-E1-10</t>
  </si>
  <si>
    <t xml:space="preserve">BRAHMANI RIVER </t>
  </si>
  <si>
    <t>31.10.2026</t>
  </si>
  <si>
    <t>BUTTERFLY VALVE-100 MM, RATING PN-16</t>
  </si>
  <si>
    <t>DPRH-20S-100-01</t>
  </si>
  <si>
    <t>30.01.2026</t>
  </si>
  <si>
    <t>BRPL- JAJPUR</t>
  </si>
  <si>
    <t>EXCELLENT</t>
  </si>
  <si>
    <t>134/25-26</t>
  </si>
  <si>
    <t>25.10.2025</t>
  </si>
  <si>
    <t>IMMEDIATE</t>
  </si>
  <si>
    <t>137/25-26</t>
  </si>
  <si>
    <t>F3-V10-1B5B-1A-20</t>
  </si>
  <si>
    <t>F3-V20-1B13B-1C-11</t>
  </si>
  <si>
    <t>007669-2526</t>
  </si>
  <si>
    <t>30% ADV &amp; 70% AGAINST DILEVRY WITHIN 15 DAYS</t>
  </si>
  <si>
    <t>04 NOS DIPSATCH</t>
  </si>
  <si>
    <t>06 NOS DISPATCH</t>
  </si>
  <si>
    <t>04 NOS DISPATCH</t>
  </si>
  <si>
    <t>MPW-03-4-20H01</t>
  </si>
  <si>
    <t>RK SOLUTION</t>
  </si>
  <si>
    <t>HINDALCO</t>
  </si>
  <si>
    <t>28.01.2026</t>
  </si>
  <si>
    <t>2100969790/A01- DHENKANAL</t>
  </si>
  <si>
    <t>DC VALVE- 4WE6 D46-62/OFEG24DK72L SO908</t>
  </si>
  <si>
    <t>CHECK VALVE- Z2S 6B1-64</t>
  </si>
  <si>
    <t>143/25-26</t>
  </si>
  <si>
    <t>06 TO 08 WEEKS</t>
  </si>
  <si>
    <t>28.11.2025</t>
  </si>
  <si>
    <t>29.03.2026</t>
  </si>
  <si>
    <t>MF0060332 (FILTER ELEMENT- 0330D 005BN3HC)</t>
  </si>
  <si>
    <t>2100971901/101- TISCO</t>
  </si>
  <si>
    <t>FILTER ELEMENT- LFBN/HC330IF10D1.X/-L110 (MF0060334)</t>
  </si>
  <si>
    <t>FILTER ELEMENT- RFDBN/HC330DAG10D1X/-L110 (0330 R 010 BN4HC)</t>
  </si>
  <si>
    <t>PISTON PUMP- A4VSO 250 LR2G/30R-PPB13N00</t>
  </si>
  <si>
    <t>2100972107/175- JAJPUR</t>
  </si>
  <si>
    <t>29.11.2025</t>
  </si>
  <si>
    <t>28.05.2026</t>
  </si>
  <si>
    <t>SERIES-7A, NB-250 MM</t>
  </si>
  <si>
    <t>145/25-26</t>
  </si>
  <si>
    <t>146/25-26</t>
  </si>
  <si>
    <t>A4VSO 250 LR2G/30R-PPB13N00</t>
  </si>
  <si>
    <t>147/25-26</t>
  </si>
  <si>
    <t>24.03.2026</t>
  </si>
  <si>
    <t>2100973149/J13- JAMSHEDPUR</t>
  </si>
  <si>
    <t>31.03.2026</t>
  </si>
  <si>
    <t>FILTER ELEMNET- 1.0250 PWR10-A00-0-M</t>
  </si>
  <si>
    <t>FILTER ELEMNET- 1.1000 PWR10-A00-0-M</t>
  </si>
  <si>
    <t>FILTER ELEMNET-10.240LA PWR10-A00-6-M</t>
  </si>
  <si>
    <t>FILTER ELEMNET-11.7500/R P10-S00-0-M</t>
  </si>
  <si>
    <t>FILTER ELEMNET- 2.0630 PWR6-A00-0-M</t>
  </si>
  <si>
    <t>FILTER ELEMNET- 1.2000 PWR3-A00-0-M</t>
  </si>
  <si>
    <t>FILTER ELEMNET- 2.0063 PWR6-A00-0-M</t>
  </si>
  <si>
    <t>FILTER ELEMNET- 1.2500 PWR10-A00-0-M</t>
  </si>
  <si>
    <t>151/25-26</t>
  </si>
  <si>
    <t>31.01.2026</t>
  </si>
  <si>
    <t>HENGST, PENDING</t>
  </si>
  <si>
    <t>PO DATE</t>
  </si>
  <si>
    <t xml:space="preserve">Material will be ready till 15/11/2025
</t>
  </si>
  <si>
    <t>Imported spare parts, material is in transit &amp; expected to reach till 1st week of December</t>
  </si>
  <si>
    <t>Imported material, it is in transit &amp; expected to reach till 1st week of December</t>
  </si>
  <si>
    <t xml:space="preserve">Imported spare parts, material is in transit &amp; expected to reach till 1st week of December
</t>
  </si>
  <si>
    <t>SO NO- 20012575, DT-10.12.25</t>
  </si>
  <si>
    <t>MOGLIX5325100101782629</t>
  </si>
  <si>
    <t>SERIES-21, 200-DA (ACTTR
PNEUM;PN:
DELTORQ
200DA;DBL
ACTNG)</t>
  </si>
  <si>
    <t>2100974455/101- BISTUPUR-JSR</t>
  </si>
  <si>
    <t>FILTER ELEMENT- 245PSFN0400-PWR6B00-V5,0-M (PN- R928024335)</t>
  </si>
  <si>
    <t>PILOT OPERATEDPART NUMBER: 4WRKE16W6200L3X/6EG24K31/F1D3M MAKE:REXROTH</t>
  </si>
  <si>
    <t xml:space="preserve"> PISTON PUMPPART NUMBER:A10VSO140DR/31R-VPB12N00MAKE:REX0RTH R910946057</t>
  </si>
  <si>
    <t>AXIAL PISTON PUMP A A10VSO140 DR /32R-VPB12N00 MAKE:REX0RTH</t>
  </si>
  <si>
    <t>AXIAL PISTON PUMPPART NUMBER:A10VSO 18 DFR1/31R-VPA12N00 MAKE:REXORTH</t>
  </si>
  <si>
    <t>PRESSURE RELIEF VALVEPART NUMBER: ZDB6VA2-42/315V MAKE:REXROTH BOSCH</t>
  </si>
  <si>
    <t>AXIAL PISTON PUMP A10VSO71DFR1/31R-VPA12N00 MAKE:REX0RTH</t>
  </si>
  <si>
    <t>HYD TANK BREATHER FILTERTYPE:BREATHER FILTERMICRON RATING:10 µMPART NUMBER:7.006 P10-S00-0-MMAKE:HENGST</t>
  </si>
  <si>
    <t>AXIAL PISTON VAR. DISPLACEMENTPART NUMBER:A10VSO180 DRG/32R VSD 72U00EMAKE:REXROTH</t>
  </si>
  <si>
    <t>AXIAL PISTON PUMPTYPE:VARIABLE DISPLACEMENTPART NUMBER:A4VSO250HS5/30R+A4VSO250HS5/30MAKE:REXROTH      UMC Text:R902561961</t>
  </si>
  <si>
    <t>CARTRIDGE VALVETYPE : CARTRIDGEPART NUMBER : MSR 30KE05-1XMAKE : REXROTH</t>
  </si>
  <si>
    <t>RELIEF VALVEPART NUMBER:DBDS 30 K1X/200MAKE:REXROTH</t>
  </si>
  <si>
    <t>PROPORTIONAL DIRECTIONAL VALVETYPE:DIRECTIONAL VALVEPART NUMBER:4WRPH6CA40L 21/G24Z4/V-855 MAKE:REXROTH</t>
  </si>
  <si>
    <t>PROPORTIONAL VALVETYPE:PRESSURE CONTROL VALVEPART NUMBER:Z3DREE 10VP2-1X/200XLG24K31F1MMAKE:REXROTH</t>
  </si>
  <si>
    <t>PROPORTIONAL VALVEPART NUMBER:4WREE 10W75-23/G24K31/F1M MAKE:BOSCH REXROTH</t>
  </si>
  <si>
    <t>PROPORTIONAL DC VALVETYPE:DIRECT OPERATED PART NUMBER:4WREE 10 V75-2X/G24K31/F1MMAKE:REXROTH</t>
  </si>
  <si>
    <t>PROPORTIONAL VALVE ,REXROTH ,ZDREE 6 VP2</t>
  </si>
  <si>
    <t>PROPORTIONAL DC VALVE ,REXROTH ,4WRKE10W</t>
  </si>
  <si>
    <t xml:space="preserve"> PROPORTIONAL DC VALVE ,REXROTH ,4WREE 10</t>
  </si>
  <si>
    <t>PROPORTIONAL DC VALVETYPE:DIRECT OPERATEDPART NUMBER:4WREE 10 W1-50-2X/G24K31/F1MMAKE:REXROTH</t>
  </si>
  <si>
    <t>FLOW CONTROALPART NUMBER: 4WRKE25E1350L3X/6EG24K31/F1D3M MAKE:REXROTH</t>
  </si>
  <si>
    <t xml:space="preserve"> PROPORTIONAL VALVE ,REXROTH ,4WREE 6 W1</t>
  </si>
  <si>
    <t>PROPORTIONAL VALVE ,REXROTH ,Z3DREE10VP2</t>
  </si>
  <si>
    <t>PILOT OPERATEDPART NUMBER:4WRTE16V1-200L-4X/6EG24K31/F1M MAKE:REXROTH</t>
  </si>
  <si>
    <t>DIRECTIONAL SPOOL VALVE NOSTYPE:DIRECTION CONTROLPART NUMBER:R983031128 MAKE:REXROTH TYPE: 4WE 6 C6X/EG24N9K4</t>
  </si>
  <si>
    <t>2100974274/J13- TELCO-JSR</t>
  </si>
  <si>
    <t>245PSFN0400-PWR6B00-V5,0-M</t>
  </si>
  <si>
    <t>7.006 P10-S00-0-M</t>
  </si>
  <si>
    <t>152/25-26</t>
  </si>
  <si>
    <t>153/25-26</t>
  </si>
  <si>
    <t>4WRKE16W6200L3X/6EG24K31/F1D3M</t>
  </si>
  <si>
    <t>A A10VSO140 DR /31R-VPB12N0</t>
  </si>
  <si>
    <t>A A10VSO140 DR /32R-VPB12N00</t>
  </si>
  <si>
    <t>A A10VSO 18 DFR1/31R-VPA12N00</t>
  </si>
  <si>
    <t>ZDB6VA2-4X/315</t>
  </si>
  <si>
    <t>A A10VSO 71 DFR1/31R-VPA12N00</t>
  </si>
  <si>
    <t>A A10VSO180 DRG /32R-VSD72U00E</t>
  </si>
  <si>
    <t>A4VSO250HS5/30R+A4VSO250HS5/30</t>
  </si>
  <si>
    <t>M-SR 30 KE05-1</t>
  </si>
  <si>
    <t>DBDS 30 K1X/200</t>
  </si>
  <si>
    <t>4WE6C6X/EG24N9K4</t>
  </si>
  <si>
    <t>4WRPH6CA40L-2X/G24Z4/V-85</t>
  </si>
  <si>
    <t>Z3DREE10VP2-1X/200XLG24K31F1M</t>
  </si>
  <si>
    <t>4WREE10W75-2X/G24K31/F1M</t>
  </si>
  <si>
    <t>4WREE10V75-2X/G24K31/F1M</t>
  </si>
  <si>
    <t>ZDREE6VP2-1X/210MG24K24F1M</t>
  </si>
  <si>
    <t>4WRKE10W6-100L-3X/6EG24K31/F1D3M</t>
  </si>
  <si>
    <t>4WREE10W1-75-2X/G24K31/F1M</t>
  </si>
  <si>
    <t>4WREE10W1-50-2X/G24K31/F1M</t>
  </si>
  <si>
    <t>4WRKE25E1-350L-3X/6EG24K31/F1D3M</t>
  </si>
  <si>
    <t>4WRTE16V1-200L-4X/6EG24K31/F1M</t>
  </si>
  <si>
    <t>27.04.2025</t>
  </si>
  <si>
    <t xml:space="preserve"> R-RING DCCS95090-9,81X1,5X1,  PN- R900017610</t>
  </si>
  <si>
    <t>R-RING DCCS95090-10X2X2-FKM, PN- R900023841</t>
  </si>
  <si>
    <t>R-RING DCCS95090-11,18X1,6X, PN- R900017611</t>
  </si>
  <si>
    <t>R-RING DCCS95090-13X1,6X2-F, PN- R900017615</t>
  </si>
  <si>
    <t xml:space="preserve"> R-RING DCCS95090-13X1,6X2-N, PN-R900017456</t>
  </si>
  <si>
    <t>2100975041/175- JAJPUR</t>
  </si>
  <si>
    <t>B.S SPONGE</t>
  </si>
  <si>
    <t xml:space="preserve"> R-RING DCCS95090-22,53X2,3X, PN-R900017620</t>
  </si>
  <si>
    <t>156/25-26</t>
  </si>
  <si>
    <t>159/25-26</t>
  </si>
  <si>
    <t>4WRPEH6C3B12L-3X/M/24A1 (PN- R901382312)</t>
  </si>
  <si>
    <t>AA4VSO 250 DR/30R-PPB13N00 (PN- R910974769)</t>
  </si>
  <si>
    <t>DB10-2-5X/315 (PN-R900590334,)</t>
  </si>
  <si>
    <t>DR20-5-5X/100Y (PN- R900597198)</t>
  </si>
  <si>
    <t>SERVICE-KOFFER-SET O-RING FKM	9131119 (R900828293)</t>
  </si>
  <si>
    <t>4WE6J6X/EG24N9K4 (R900561288)</t>
  </si>
  <si>
    <t>Z2S 6-1-6X</t>
  </si>
  <si>
    <t>SERVICE-KOFFER-SET R-RING FKM (PN- R900828294)</t>
  </si>
  <si>
    <t>4WE10J5X/HG24N9K4/M (PN- R901278744)</t>
  </si>
  <si>
    <t>Z2FS6-2-4X/1QV</t>
  </si>
  <si>
    <t>DBDS20-K1X/315</t>
  </si>
  <si>
    <t>4WE6J6X/EG24N9K4</t>
  </si>
  <si>
    <t>PIPE CONNECT.PIECE FLEXIBLE 080-CL150NM (PN- R900828294)</t>
  </si>
  <si>
    <t>2100976629/K01- KHOPOLI</t>
  </si>
  <si>
    <t>4WRPEH6C3B12L-3X/M/24A1, PN- R901382312</t>
  </si>
  <si>
    <t>4700149214/101- BISTUPUR</t>
  </si>
  <si>
    <t>160 DAYS</t>
  </si>
  <si>
    <t>4700149162/101- BISTUPUR</t>
  </si>
  <si>
    <t>150 DAYS</t>
  </si>
  <si>
    <t>SERIES-64, NB-15 MM</t>
  </si>
  <si>
    <t>161/25-26</t>
  </si>
  <si>
    <t>162/25-26</t>
  </si>
  <si>
    <t>30.04.2026</t>
  </si>
  <si>
    <t>VALVE- 4WE6Y6X/EG24N9K4, PN- R900561276</t>
  </si>
  <si>
    <t>2100977097/101- JAMSHEDPUR</t>
  </si>
  <si>
    <t>2100977173/A02- DHENKANAL</t>
  </si>
  <si>
    <t>28.03.2026</t>
  </si>
  <si>
    <t>VALVE- Z2S6B1-6X, PN- R900347501</t>
  </si>
  <si>
    <t>2100977088/101- JAMSHEDPUR</t>
  </si>
  <si>
    <t>VALVE- OD153118A000000-VEI-016-NC-08A-A-31-0000, PN-R930058334</t>
  </si>
  <si>
    <t>VALVE- 2SEW6N3X/630MG24N9K4, PN- R900211910</t>
  </si>
  <si>
    <t xml:space="preserve">VALVE- S10A1.0, PN- R900420531         </t>
  </si>
  <si>
    <t xml:space="preserve">VALVE- HEDE10-3X/400/1/-GA-K35-V, PN- R901433084        </t>
  </si>
  <si>
    <t xml:space="preserve">VALVE- S20A1.0, PN- R900420525             </t>
  </si>
  <si>
    <t>VALVE- M-SR 15 KE05-1X/, PN- R9000345372</t>
  </si>
  <si>
    <t xml:space="preserve">VALVE- M-3SMM6C3X/420, PN- R900054483          </t>
  </si>
  <si>
    <t xml:space="preserve">VALVE- NDRVP-DN12-8A, PN- R913016179 </t>
  </si>
  <si>
    <t xml:space="preserve">VALVE- NDVP-DN20-1A, PN- R913016001          </t>
  </si>
  <si>
    <t>VALVE- DBDS6P1X/50V, PN- R900438610</t>
  </si>
  <si>
    <t>VALVE- DB10-2-5X/50, PN- R900590645</t>
  </si>
  <si>
    <t xml:space="preserve">VALVE- PGZ4-1X/040RA07VE4, PN- R901230028 </t>
  </si>
  <si>
    <t>VALVE- 2FRM6B36-2X/3QRV, PN- R983032410</t>
  </si>
  <si>
    <t xml:space="preserve">PUMP- A A4VSO 40 DR /10R-VPB13N00, PN- R902425180          </t>
  </si>
  <si>
    <t xml:space="preserve">VALVE- DBW10B2-5X/315-6SMG24N9K4, PN- R900930813           </t>
  </si>
  <si>
    <t xml:space="preserve">VALVE- BKH-DN25/40-G1 1/2-1&amp;, PN- R901354210              </t>
  </si>
  <si>
    <t xml:space="preserve">VALVE- BKH-DN25-G1-112A ZN+&amp;, PN- R901354205                     </t>
  </si>
  <si>
    <t>VALVE- DR6DP2-5X/25YM, PN- R900472470</t>
  </si>
  <si>
    <t>164/25-26</t>
  </si>
  <si>
    <t>165/25-26</t>
  </si>
  <si>
    <t>24.12.2025</t>
  </si>
  <si>
    <t>166/25-26</t>
  </si>
  <si>
    <t>TATA STEEL- DHENKANAL</t>
  </si>
  <si>
    <t>2100977520/107- TISCO</t>
  </si>
  <si>
    <t xml:space="preserve">GEAR PUMP- PGF3-3X/025RE07VE4, PN- R900932088          </t>
  </si>
  <si>
    <t xml:space="preserve"> 2100977600/175-DUBRI</t>
  </si>
  <si>
    <t>24.04.2026</t>
  </si>
  <si>
    <t>FILTER ELEMET- 2.0059 H3XL-A00-6-M, PN- R928007131</t>
  </si>
  <si>
    <t>2100977635/175- DUBRI</t>
  </si>
  <si>
    <t>24.05.2026</t>
  </si>
  <si>
    <t>FILTER ELEMENT- RF BN/HC 0160 G 10 C1.X/, PN- R900385740</t>
  </si>
  <si>
    <t>VALVE- Z2S16-1-51, PN- R900328797</t>
  </si>
  <si>
    <t>VALVE- Z2S22-1-51, PN- R900432915</t>
  </si>
  <si>
    <t>Z2DB10VD24X/200V, PN- R900411358</t>
  </si>
  <si>
    <t>LFA 25 WEMA- 71/, PN- R900912687</t>
  </si>
  <si>
    <t>DR6 DP2 -5X/75Y, PN- R900413241</t>
  </si>
  <si>
    <t>A10VSO 140 DR/3X RPPB 12N00</t>
  </si>
  <si>
    <t>26.12.2025</t>
  </si>
  <si>
    <t>25.05.2026</t>
  </si>
  <si>
    <t xml:space="preserve"> 2100978068/J13- GAMHARIA</t>
  </si>
  <si>
    <t xml:space="preserve">PVV4-1X/082RA15UMC, PN- R900938819         </t>
  </si>
  <si>
    <t>VALVE- VT-HDTSY-1-2X/1-1-2-1-0</t>
  </si>
  <si>
    <t>2100977904/K01- KHOPOLI</t>
  </si>
  <si>
    <t>2100978074/J13- TELCO- JAMSHEDPUR</t>
  </si>
  <si>
    <t>4WE 10 J5X/EG24N9K4/M, PN- R901278744</t>
  </si>
  <si>
    <t>Z2FS6-2-46/20V</t>
  </si>
  <si>
    <t>4WE6Y62/EG24N9K4</t>
  </si>
  <si>
    <t>DBEBE6X-11/315G24K31A 1M</t>
  </si>
  <si>
    <t>2100978137/101- BISTUPUR</t>
  </si>
  <si>
    <t>478 3233-622 TYPE:400-10</t>
  </si>
  <si>
    <t>4WRZE32W8-360-7X/6EG24N9K31/F1V</t>
  </si>
  <si>
    <t>4WRZE16W6-100-7X/6EG24N9K31/F1V</t>
  </si>
  <si>
    <t>A A4VSO 125 LR2G /30R-PPB13N00</t>
  </si>
  <si>
    <t>172/25-26</t>
  </si>
  <si>
    <t>171/25-26</t>
  </si>
  <si>
    <t>167/25-26</t>
  </si>
  <si>
    <t>168/25-26</t>
  </si>
  <si>
    <t>169/25-26</t>
  </si>
  <si>
    <t>170/25-26</t>
  </si>
  <si>
    <t>GEMC-511687767266288- GEM</t>
  </si>
  <si>
    <t>VANE PUMP- PVV2-1X/045RJ15UMB, PN- R900942298</t>
  </si>
  <si>
    <t>VANE PUMP- PVV2-1X/045RJ15UMB</t>
  </si>
  <si>
    <t>173/25-26</t>
  </si>
  <si>
    <t>29.01.2026</t>
  </si>
  <si>
    <t>29.12.2025</t>
  </si>
  <si>
    <t>SO NO</t>
  </si>
  <si>
    <t>SO DATE</t>
  </si>
  <si>
    <t xml:space="preserve">DESCRIPTION
</t>
  </si>
  <si>
    <t>PBDB-8WN</t>
  </si>
  <si>
    <t>PBHB-8WN</t>
  </si>
  <si>
    <t>RBAP-XAN-2B24V</t>
  </si>
  <si>
    <t>RBAP-XWN-2B24V</t>
  </si>
  <si>
    <t>2100978608/101- BISTUPUR</t>
  </si>
  <si>
    <t>SERIES-52, BFV, DN-200MM</t>
  </si>
  <si>
    <t>SERIES-52, BFV, DN-150MM</t>
  </si>
  <si>
    <t>174/25-26</t>
  </si>
  <si>
    <t>30.12.2025</t>
  </si>
  <si>
    <t>175/25-26</t>
  </si>
  <si>
    <t>4WE-6-D-6X/-E G24-N9-K4/B20</t>
  </si>
  <si>
    <t>LFA50D-7X/FX20</t>
  </si>
  <si>
    <t>LC50A10E7X/</t>
  </si>
  <si>
    <t>Z1S6T05-4X/V</t>
  </si>
  <si>
    <t>176/25-26</t>
  </si>
  <si>
    <t>10.160LA PWR10-A00-6-M</t>
  </si>
  <si>
    <t>2.0059 PWR3-A00-6-M</t>
  </si>
  <si>
    <t>4WE 6 D 6X/OFE G24 N9K4, PN- R900567512</t>
  </si>
  <si>
    <t>163/25-26</t>
  </si>
  <si>
    <t>155/25-26</t>
  </si>
  <si>
    <t>6170000598- JFL</t>
  </si>
  <si>
    <t>CIT-06-5-2080</t>
  </si>
  <si>
    <t>31.12.2025</t>
  </si>
  <si>
    <t>MAXX HYD</t>
  </si>
  <si>
    <t>EMAIL</t>
  </si>
  <si>
    <t>IFGL REFRACTORIES</t>
  </si>
  <si>
    <t>HYD VANE PUMP- T7BB-B03-B03-5L03-A1-M1</t>
  </si>
  <si>
    <t>BIKRAM HYD</t>
  </si>
  <si>
    <t>SANJAY HYD</t>
  </si>
  <si>
    <t>181/25-26</t>
  </si>
  <si>
    <t>IFGL REF</t>
  </si>
  <si>
    <t>POWER PACK- BOM TAT-F26-0002</t>
  </si>
  <si>
    <t>BREATHER- DBT-035</t>
  </si>
  <si>
    <t>DSPG-03-C-D24-10</t>
  </si>
  <si>
    <t>PG1-186-P-1-P-B-R-3080</t>
  </si>
  <si>
    <t>TATA-BISTUPUR</t>
  </si>
  <si>
    <t>HYDTECH INNOVATIVS</t>
  </si>
  <si>
    <t>184/25-26</t>
  </si>
  <si>
    <t>HYDTECH</t>
  </si>
  <si>
    <t>POWER PACK</t>
  </si>
  <si>
    <t>2100980971/A01- DHENKANAL</t>
  </si>
  <si>
    <t>MOGLIX</t>
  </si>
  <si>
    <t>2100981810/K01- KHOPOLI, MAHARASTRA</t>
  </si>
  <si>
    <t>POPPET VALVE- WSM10120ZR-01-C-N-24DG</t>
  </si>
  <si>
    <t>BLADDER- SB330-32A1/112U-330A</t>
  </si>
  <si>
    <t>HYD HOUSING FOR CARTRIDGE VALVE-  395234</t>
  </si>
  <si>
    <t>ELECTRO</t>
  </si>
  <si>
    <t>EXCELLENT HYD</t>
  </si>
  <si>
    <t>VALVE PN- 395234</t>
  </si>
  <si>
    <t>190/25-26</t>
  </si>
  <si>
    <t>TATA- KHOPOLI</t>
  </si>
  <si>
    <t>189/25-26</t>
  </si>
  <si>
    <t>2100982160/101- BISTPUR</t>
  </si>
  <si>
    <t>CHECK VALVE- DGMPC-5-BAK-30</t>
  </si>
  <si>
    <t>DIRECT ACTING RELIEF VALVE- RCT 06 F1 30</t>
  </si>
  <si>
    <t>2100982207/A01- DHENAKANAL</t>
  </si>
  <si>
    <t>192/25-26</t>
  </si>
  <si>
    <t>193/25-26</t>
  </si>
  <si>
    <t>PUMP- PVWS-250M07R0001R01SV0ADF000 A0000000000000000010</t>
  </si>
  <si>
    <t>TATA- BISTUPUR</t>
  </si>
  <si>
    <t>TATA- DHENKANAL</t>
  </si>
  <si>
    <t>BREATHER- DBT-035  (PN- D102) (EQUIVALENT OF DBP-035)</t>
  </si>
  <si>
    <t>PUMP- A A10VSO 45 DR /31R-VPA12N00</t>
  </si>
  <si>
    <t>TATA</t>
  </si>
  <si>
    <t>195/25-26</t>
  </si>
  <si>
    <t>2100982522/S07- GHAZIABAD</t>
  </si>
  <si>
    <t>2100982500/A01- DHENKANAL</t>
  </si>
  <si>
    <t>SEAL KIT- V184 FPM</t>
  </si>
  <si>
    <t>2100982505/A01-BISTUPUR</t>
  </si>
  <si>
    <t>AIR OIL COOLER- HPA180 (V- 2418003001)</t>
  </si>
  <si>
    <t>SEAL KIT- V184 FPM (PN- R939002443)</t>
  </si>
  <si>
    <t>196/25-26</t>
  </si>
  <si>
    <t>TATA-DHENKANAL</t>
  </si>
  <si>
    <t>197/25-26</t>
  </si>
  <si>
    <t>27.03.26</t>
  </si>
  <si>
    <t>2100969520/A02- DHENKANAL</t>
  </si>
  <si>
    <t>Plate Heat Exchanger- VG10PX44</t>
  </si>
  <si>
    <t>SO NO- 20012743, DT-31.12.25</t>
  </si>
  <si>
    <t>2100983378/101-BISTUPUR</t>
  </si>
  <si>
    <t>HYD MOTOR- OMR 315 151-60</t>
  </si>
  <si>
    <t>2100983469/101-BISTUPUR</t>
  </si>
  <si>
    <t>29.05.2026</t>
  </si>
  <si>
    <t>PRESSURE TRANSMITER- HDA4745-A-400-000</t>
  </si>
  <si>
    <t>BAIN GLOBAL RESOURCES</t>
  </si>
  <si>
    <t>BAIN PL/MPR/PUR/2025-26/2077</t>
  </si>
  <si>
    <t xml:space="preserve">PRESSURE SWITCH- YSG-D-20 </t>
  </si>
  <si>
    <t>DSLG-01-3-C-
D24-N1-11H10</t>
  </si>
  <si>
    <t>DSHG-06-3C4-
C1C2-R2-D24-
N1-51</t>
  </si>
  <si>
    <t>HCG-06-C1-21</t>
  </si>
  <si>
    <t>ACCUMALATOR BALL VALVE- BPN11937</t>
  </si>
  <si>
    <t>DSG-01-2B2 -D24-N1-50L</t>
  </si>
  <si>
    <t xml:space="preserve">RELIEF VALVE- YCB-06-D-G-1-20 </t>
  </si>
  <si>
    <t>24.01.2026</t>
  </si>
  <si>
    <t>200/25-26</t>
  </si>
  <si>
    <t>Check Valve  : CV3-10-P-O-10  Price Rs.2295/- each  + GST 18%  12-16 Weeks</t>
  </si>
  <si>
    <t>CHECK VALVE- CV3-10-P-O-10 - Remswege</t>
  </si>
  <si>
    <t>Relief Valve : RVS-10-S-0-3 (4 To 20 Bar):- RV5 10 S 0 3   Price Rs.5575/- each + GST 18% Delivery- 8-10 Weeks</t>
  </si>
  <si>
    <t>RELIEF VALVE- RVS-10-S-0-3 - remswege</t>
  </si>
  <si>
    <t>Remswege</t>
  </si>
  <si>
    <t>Yuken</t>
  </si>
  <si>
    <t>RVS-10-S-0-3</t>
  </si>
  <si>
    <t>CV3-10-P-O-10</t>
  </si>
  <si>
    <t>201/25-26</t>
  </si>
  <si>
    <t xml:space="preserve">BAIN GLOBAL </t>
  </si>
  <si>
    <t>27.01.2026</t>
  </si>
  <si>
    <t>PN- R180565331</t>
  </si>
  <si>
    <t>203/25-26</t>
  </si>
  <si>
    <t>SOLENOID VALVE- TCM380PC10P A1</t>
  </si>
  <si>
    <t>SOLENOID VALVE- TCM380PC06P A1</t>
  </si>
  <si>
    <t>SOLENOID VALVE- TCM380PC10P A1 (SWPM 10 D/M-X 24)</t>
  </si>
  <si>
    <t>SOLENOID VALVE- TCM380PC06P A1 (SWPM 06 D/M-X 24)</t>
  </si>
  <si>
    <t>204/25-26</t>
  </si>
  <si>
    <t>VALVE- 4WRAE 10 W60-22/G24K31/F1V</t>
  </si>
  <si>
    <t>205/25-26</t>
  </si>
  <si>
    <t>28.01..26</t>
  </si>
  <si>
    <t>JSPL-ANGUL</t>
  </si>
  <si>
    <t>27.04.2026</t>
  </si>
  <si>
    <t>SEAL KIT- BORE 100XROD 56XSTROK775</t>
  </si>
  <si>
    <t>206/25-26</t>
  </si>
  <si>
    <t>TATA- JAJPUR</t>
  </si>
  <si>
    <t>207/25-26</t>
  </si>
  <si>
    <t>Z2S16-1-5X/</t>
  </si>
  <si>
    <t>Z2S22-1-5X</t>
  </si>
  <si>
    <t>Z2DB10VD24X/200V</t>
  </si>
  <si>
    <t>ZDR6DP1-4X/150YM</t>
  </si>
  <si>
    <t>LFA25WEMA-7</t>
  </si>
  <si>
    <t>DR6 DP2 -5X/75Y</t>
  </si>
  <si>
    <t>208/25-26</t>
  </si>
  <si>
    <t>2100985657/K01- KHOPOLI</t>
  </si>
  <si>
    <t>28.04.2026</t>
  </si>
  <si>
    <t>2100985349/A01-DHENKANAL</t>
  </si>
  <si>
    <t>PUMP ELEMENT- 505-30405-3 (ZPU08 O9,14,24)</t>
  </si>
  <si>
    <t>RAJDEEP IND.</t>
  </si>
  <si>
    <t>RAJDEEP IND</t>
  </si>
  <si>
    <t>210/25-26</t>
  </si>
  <si>
    <t>TATA- DHENAKANAL</t>
  </si>
  <si>
    <t>DSG-01-2B2-A240-N1-50</t>
  </si>
  <si>
    <t>09</t>
  </si>
  <si>
    <t>08</t>
  </si>
  <si>
    <t>10</t>
  </si>
  <si>
    <t>2100985854/J01- TELCO JAMSHEDPUR</t>
  </si>
  <si>
    <t>HYD SCREW PUMP- GR 60-SMT16B- 440L</t>
  </si>
  <si>
    <t>2.0058 PWR10-A00-6-M</t>
  </si>
  <si>
    <t>1.0200 PWR6-A00-0-M</t>
  </si>
  <si>
    <t>213/25-26</t>
  </si>
  <si>
    <t>TATA-TELCO</t>
  </si>
  <si>
    <t>212/25-26</t>
  </si>
  <si>
    <t>14 TO 16 WEEKS</t>
  </si>
  <si>
    <t>Descriptions</t>
  </si>
  <si>
    <t>Order Placed to</t>
  </si>
  <si>
    <t>Remark</t>
  </si>
  <si>
    <t>VRL</t>
  </si>
  <si>
    <t>Due Date Prepone Required</t>
  </si>
  <si>
    <t>Customer</t>
  </si>
  <si>
    <t>Delivey</t>
  </si>
  <si>
    <t>Delivery Date</t>
  </si>
  <si>
    <t>READY</t>
  </si>
  <si>
    <t>Ready</t>
  </si>
  <si>
    <t>2.0400 PWR10-A00-0-M (478 3233-622 TYPE:400-10)</t>
  </si>
  <si>
    <t>TATA- STEEL JAJPUR</t>
  </si>
  <si>
    <t>211/25-26</t>
  </si>
  <si>
    <t>DG4V5-6C-M-U-A-620</t>
  </si>
  <si>
    <t>DGMC2-3-AB-CW-BA-CW-41</t>
  </si>
  <si>
    <t>DGMPC 3 ABK BAK 41</t>
  </si>
  <si>
    <t>DGMX2-5-PA-BW-B-30</t>
  </si>
  <si>
    <t>DG4V5-2C-M-U-A6-20</t>
  </si>
  <si>
    <t>DG4V5-2N-M-U-A6-20</t>
  </si>
  <si>
    <t>DGMPC-5-ABK-BAK-30</t>
  </si>
  <si>
    <t>DGMFN-3-Y-A2W-B2W-20</t>
  </si>
  <si>
    <t>DG4V 3 6B MU A6 60 (PN- DG4V-3S-6B.M.U.B5-60 )</t>
  </si>
  <si>
    <t>DG4V 3 6C MU A6 60 (PN- DG4V 3S-6C.M.U.B5-60)</t>
  </si>
  <si>
    <t>DGMFN-5-Y-A2W-B2W-30 </t>
  </si>
  <si>
    <t>DGMFN-5-Y-A2W-B2W-30</t>
  </si>
  <si>
    <t>DGMPC-3-ABK-BAK-20</t>
  </si>
  <si>
    <t>DGMX2-3-PB-BW-B-40</t>
  </si>
  <si>
    <t>DG4V 3 2C MU A6 60 (DG4V3S-2C-M-U-B5-60)</t>
  </si>
  <si>
    <t>DGMX2-5-PP-BW-B-30</t>
  </si>
  <si>
    <t>DGMX2-3-PP-BW-B-40</t>
  </si>
  <si>
    <t>DGMFN-3-X-A2W-B2W-41</t>
  </si>
  <si>
    <t>DGMX2-5-PB-BW-30</t>
  </si>
  <si>
    <t>2100985956/S07- GHAZIABAD</t>
  </si>
  <si>
    <t>29.04.2026</t>
  </si>
  <si>
    <t>TATA-GHAZIABAD</t>
  </si>
  <si>
    <t>30.06.2026</t>
  </si>
  <si>
    <t>HYD SPRVALVE O RING KIT- R900828294</t>
  </si>
  <si>
    <t>ANNUAL RATE CONTRACT</t>
  </si>
  <si>
    <t>MTLS CODE</t>
  </si>
  <si>
    <t>5243A2162</t>
  </si>
  <si>
    <t>2100986434/101-TISCO-JAMSHEDPUR</t>
  </si>
  <si>
    <t>VISA STEEL</t>
  </si>
  <si>
    <t>Seal Kit-200x Rod90x Stroke1500</t>
  </si>
  <si>
    <t>214/25-26</t>
  </si>
  <si>
    <t>2.0063 PWR10-B00-0-M</t>
  </si>
  <si>
    <t>216/25-26</t>
  </si>
  <si>
    <t>REBRAND</t>
  </si>
  <si>
    <t>03 TO 04 WEEKS</t>
  </si>
  <si>
    <t>VALVE- RHCE 23-PYD</t>
  </si>
  <si>
    <t>215/25-26</t>
  </si>
  <si>
    <t>TATA-DHENAKANAL</t>
  </si>
  <si>
    <t>5261A2660</t>
  </si>
  <si>
    <t>REBRAND SOLUTION</t>
  </si>
  <si>
    <t>BUTTERFLY VALVE M.S. 80 NB</t>
  </si>
  <si>
    <t>BUTTERFLY VALVE M.S. 50 NB</t>
  </si>
  <si>
    <t>S S BALL VALVE
HEAVY DUTY 1
1/2"</t>
  </si>
  <si>
    <t>SS BALL VALVE 1/2"</t>
  </si>
  <si>
    <t>2100986386/101- TISCO- JAMSHEDPUR</t>
  </si>
  <si>
    <t>5094A0028</t>
  </si>
  <si>
    <t>217/25-26</t>
  </si>
  <si>
    <t>1.0630 PWR-10-A00-0-M</t>
  </si>
  <si>
    <t>2.0100 PWR10-A00-0-M</t>
  </si>
  <si>
    <t>2.0400 PWR10-A00-0-M</t>
  </si>
  <si>
    <t>1.0250 PWR10-A00-0-M</t>
  </si>
  <si>
    <t>2.0063 PWR10-A00-0-M</t>
  </si>
  <si>
    <t>PO/HNEGST2</t>
  </si>
  <si>
    <t>07 DAYS</t>
  </si>
  <si>
    <t>HINDALCO- LAPANGA</t>
  </si>
  <si>
    <t>29.06.2026</t>
  </si>
  <si>
    <t>BALL VALVE- SERIES-7A, NB-250 MM</t>
  </si>
  <si>
    <t>GUIDE, PN- 6001336502 (PN- R180565331)</t>
  </si>
  <si>
    <t>218/25-26</t>
  </si>
  <si>
    <t>0660 R 003 BN3HC</t>
  </si>
  <si>
    <t>0160R010BN4HC</t>
  </si>
  <si>
    <t>0500 D 003 BH3HC</t>
  </si>
  <si>
    <t>0280-G-003</t>
  </si>
  <si>
    <t>219/25-26</t>
  </si>
  <si>
    <t>SERIES-50, DN - 50 MM</t>
  </si>
  <si>
    <t>SERIES-65, NB - 40 MM,</t>
  </si>
  <si>
    <t>SERIES-50, DN - 80 MM</t>
  </si>
  <si>
    <t>220/25-26</t>
  </si>
  <si>
    <t>TATA- jamshedpur</t>
  </si>
  <si>
    <t>Hengst</t>
  </si>
  <si>
    <t>2100987376/101-TISCO-JAMSHEDPUR</t>
  </si>
  <si>
    <t>COUNTER BALANCE VALVE- CBV1-12-S-O-A-30</t>
  </si>
  <si>
    <t>4/2 POPPET SOLENOID VALVE- M3SEW6C3C/420MG24N9K4</t>
  </si>
  <si>
    <t>2100987312/101-TISCO-JAMSHEDPUR</t>
  </si>
  <si>
    <t>RECIRCULATION PUMP- A A4VSO 71 DR /10R-VPB13N00</t>
  </si>
  <si>
    <r>
      <t>2100986702/S07- GHAZIABAD-</t>
    </r>
    <r>
      <rPr>
        <b/>
        <sz val="9"/>
        <color theme="9" tint="-0.499984740745262"/>
        <rFont val="Calibri"/>
        <family val="2"/>
        <scheme val="minor"/>
      </rPr>
      <t xml:space="preserve"> P&amp;F</t>
    </r>
  </si>
  <si>
    <t>TATA- GHAZIABAD</t>
  </si>
  <si>
    <r>
      <t xml:space="preserve">4416285108/101-TISCO- JAMSHEDPUR- </t>
    </r>
    <r>
      <rPr>
        <b/>
        <sz val="9"/>
        <color theme="9" tint="-0.499984740745262"/>
        <rFont val="Calibri"/>
        <family val="2"/>
        <scheme val="minor"/>
      </rPr>
      <t>DELIVERY ORDER</t>
    </r>
  </si>
  <si>
    <t>DSG-03-3C3-A120-N1-50</t>
  </si>
  <si>
    <t xml:space="preserve"> DSHG-04-2B2-D24-IN-50</t>
  </si>
  <si>
    <t>RELIEF VALVE- YCB-06-D-G-1-20</t>
  </si>
  <si>
    <t>VALVE- RG-10-B-2180</t>
  </si>
  <si>
    <t xml:space="preserve"> VALVE-  RG-10-B-2180</t>
  </si>
  <si>
    <t>POPPET SOLENOID VALVE- 3SEW6C3X/420MG24N9K4</t>
  </si>
  <si>
    <t>PUMP- A A4VSO 71 DR /10R-VPB13N00</t>
  </si>
  <si>
    <t>222/25-26</t>
  </si>
  <si>
    <t>223/25-26</t>
  </si>
  <si>
    <t>PUMP- AA4VSO180DR/30R-PPB13N00</t>
  </si>
  <si>
    <t>224/25-26</t>
  </si>
  <si>
    <t>ITEM</t>
  </si>
  <si>
    <t>HENGST DISPATCH QTY</t>
  </si>
  <si>
    <t>HENGST PO</t>
  </si>
  <si>
    <t>227/25-26</t>
  </si>
  <si>
    <t>226/25-26</t>
  </si>
  <si>
    <t>Pr. Gauge Dial 6" 0 to 20 Bottom 1/2"</t>
  </si>
  <si>
    <t>04 TO 06 WEEKS</t>
  </si>
  <si>
    <t>PI NO</t>
  </si>
  <si>
    <t>27.10.2025</t>
  </si>
  <si>
    <t>TOTAL VALVE</t>
  </si>
  <si>
    <t>2100987320/101-TISCO-JAMSHEDPUR</t>
  </si>
  <si>
    <t>2100988401/101- TISCO JAMSHEDPUR</t>
  </si>
  <si>
    <t>PN- MF0063164</t>
  </si>
  <si>
    <t>16.9700/2 PWR6-E00-0-V (PN- MF0059514)</t>
  </si>
  <si>
    <t>A A4VSO 250 DR/30R-PPB13N00,</t>
  </si>
  <si>
    <t>CHECK VALVE- CKIB XCV</t>
  </si>
  <si>
    <t>RELIEF VALVE- RPKC LAV</t>
  </si>
  <si>
    <t>FILTER ELEMENT- 16.9700/2 PWR6-E00-0-V, MF0059514</t>
  </si>
  <si>
    <t>229/25-26</t>
  </si>
  <si>
    <t>10 TO12 WEEKS</t>
  </si>
  <si>
    <t xml:space="preserve"> 2100989197/175- DUBRI</t>
  </si>
  <si>
    <t>GASKET SET- NT150S V CPL-10</t>
  </si>
  <si>
    <t>MOGLIX5325100101833976</t>
  </si>
  <si>
    <t>MOGLIX5325100101833987</t>
  </si>
  <si>
    <t>BUTTERFLY VALVE- 6" (Series-52, BFV, DN - 150MM)</t>
  </si>
  <si>
    <t>BUTTERFLY VALVE- 8" (Series-52, BFV, DN - 200MM)</t>
  </si>
  <si>
    <t>GASKET FOR NT150SV CPL</t>
  </si>
  <si>
    <t>230/25-26</t>
  </si>
  <si>
    <t>TATA- DUBARI</t>
  </si>
  <si>
    <t>22.05.26</t>
  </si>
  <si>
    <t>DBDS30P1X/200</t>
  </si>
  <si>
    <t>H-4WEH25J6X/6EG24N9ETS2K4/B10D3</t>
  </si>
  <si>
    <t>VALVE- DBDS30P1X/200</t>
  </si>
  <si>
    <t>VALVE- H-4WEH25J6X/6EG24N9ETS2K4/B10D3</t>
  </si>
  <si>
    <t>231/25-26</t>
  </si>
  <si>
    <t>TATA, 01 NO DISPATCH</t>
  </si>
  <si>
    <t>SANKALP, 01 NO DISPATCH</t>
  </si>
  <si>
    <t>01 NO DISPTACH</t>
  </si>
  <si>
    <t>2100989479/101- TISCO JSR</t>
  </si>
  <si>
    <t>PUMP- X84004</t>
  </si>
  <si>
    <t>VALVE- 618-28387-1</t>
  </si>
  <si>
    <t>VALVE- 505-36089-1</t>
  </si>
  <si>
    <t>ZPU14G -100XYBU-415V</t>
  </si>
  <si>
    <t>233/25-26</t>
  </si>
  <si>
    <t>TATA- TISCO</t>
  </si>
  <si>
    <t>2100990124/101- TISCO JSR</t>
  </si>
  <si>
    <t>SEAL KIT- CYXX/125/70/A/SP/FOR&amp;</t>
  </si>
  <si>
    <t>234/25-26</t>
  </si>
  <si>
    <t>SEAL KIT- CYXX/125/70/A/SP/FOR&amp; (R983129830 )</t>
  </si>
  <si>
    <t>TATA-TISCO</t>
  </si>
  <si>
    <t>JSW- BPSL</t>
  </si>
  <si>
    <t>30.05.2026</t>
  </si>
  <si>
    <t>PUMP- A10VSO100 DR/31R -VPA12N00</t>
  </si>
  <si>
    <t>PUMP- PVV4-1X/113RA15UMC</t>
  </si>
  <si>
    <t>Most Urgent</t>
  </si>
  <si>
    <t>2100990378/L01- LUDHIANA</t>
  </si>
  <si>
    <t>28.06.2026</t>
  </si>
  <si>
    <t>VALVE- 1CEB300F35S3 (406AA00033A)</t>
  </si>
  <si>
    <t>2100990302/175-DUBURI</t>
  </si>
  <si>
    <t>PN- R939004086 (2.0250 PWR10-A00-0-M)</t>
  </si>
  <si>
    <t>PN- R928005998 (1.0630 PWR6-A00-0-M)</t>
  </si>
  <si>
    <t>PN- R928006862 (2.0250 PWR6-A00-0-M)</t>
  </si>
  <si>
    <t>PN- R939059248 (2.0600 PWR10-A00-0-M)</t>
  </si>
  <si>
    <t>PN- R928006808 (2.0160 PWR6-A00-0-M)</t>
  </si>
  <si>
    <t>235/25-26</t>
  </si>
  <si>
    <t>TATA- LUDHIANA</t>
  </si>
  <si>
    <t>1CEB300F35S3 (406AA00033A)</t>
  </si>
  <si>
    <t>10 WEEKS</t>
  </si>
  <si>
    <t>FILTER ELEMENT- MF0063164</t>
  </si>
  <si>
    <t>2.0160.PWR6.A00.0.M</t>
  </si>
  <si>
    <t>2.0600 PWR10-A00-0-M</t>
  </si>
  <si>
    <t>2.0250 PWR6-A00-0-M</t>
  </si>
  <si>
    <t>1.0630 PWR6-A00-0-M</t>
  </si>
  <si>
    <t>2.0250.PWR10.A00.0.M</t>
  </si>
  <si>
    <t>236/25-26</t>
  </si>
  <si>
    <t>14</t>
  </si>
  <si>
    <t>15</t>
  </si>
  <si>
    <t>EM-415V ELECT CHANGEOVER VALVE (X618-27645-1)</t>
  </si>
  <si>
    <t xml:space="preserve"> 2100991077/101- TISCO- JSR</t>
  </si>
  <si>
    <t>2100990932/101- TISCO- JSR</t>
  </si>
  <si>
    <t>HYD MOTOR CA 140 SB0NH 0200 , PN- R939002786</t>
  </si>
  <si>
    <t>MOTOR CA-100, PN- R939002423</t>
  </si>
  <si>
    <t>237/25-26</t>
  </si>
  <si>
    <t>PVV4-1X/113RA15UMC</t>
  </si>
  <si>
    <t>JSW- BSPL</t>
  </si>
  <si>
    <t>01 NOS DISPATCH</t>
  </si>
  <si>
    <t>DISPATCH</t>
  </si>
  <si>
    <t>03 NOS DISPATCH</t>
  </si>
  <si>
    <t>24.02.2026</t>
  </si>
  <si>
    <t>HYD PUMP PG2478P2FBR1080,47.8CC</t>
  </si>
  <si>
    <t>WHATSAPP</t>
  </si>
  <si>
    <t>DOUBLE VANE PUMP- 4535V60A25 86CC22R</t>
  </si>
  <si>
    <t>DOUBLE VANE PUMP- 4535V60A30 1AA22R</t>
  </si>
  <si>
    <t>JSPL-A, 09 NOS DISPTACH</t>
  </si>
  <si>
    <t>SO NO- 491195, DT-  25.02.2026</t>
  </si>
  <si>
    <t>239/25-26</t>
  </si>
  <si>
    <t>ROTARY SHAFT SEAL, PN- R939002786 (PPS 200X230X10-NBR)</t>
  </si>
  <si>
    <t>SEAL KIT BICA 13 NBR AD (SP) (PN- R939002423)</t>
  </si>
  <si>
    <t>240/25-26</t>
  </si>
  <si>
    <t>AGREEMENT NO- MOG/ARC/25-27/23</t>
  </si>
  <si>
    <t>26.02.2026</t>
  </si>
  <si>
    <t>PLATE HEAT EXCHANGER- FP-16-29-1-NH</t>
  </si>
  <si>
    <t>MOST URGENT REQUIRED</t>
  </si>
  <si>
    <t>RELIEF VALVE- YCB-06-D-G-1-20 </t>
  </si>
  <si>
    <t>PRESSURE SWITCH- YSG-D-20 </t>
  </si>
  <si>
    <t>DSLG-01-3-C-D24-N1-11H10</t>
  </si>
  <si>
    <t>DSHG-06-3C4-C1C2-R2-D24-N1-51</t>
  </si>
  <si>
    <t>DSG-01-3C60-D24-N1-50</t>
  </si>
  <si>
    <t>DSG-01-3C60-A240-N1-50</t>
  </si>
  <si>
    <t>2G11/F26/0169</t>
  </si>
  <si>
    <t>DSG-03-3C4-A240-N1-50</t>
  </si>
  <si>
    <t>DSG-03-3C3-A240-N1-50</t>
  </si>
  <si>
    <t>DSG-03-2B2-A240-N1-50</t>
  </si>
  <si>
    <t>DSG-03-3C2-D24-N1-50</t>
  </si>
  <si>
    <t>DSG-03-2B2-D24-N1-50</t>
  </si>
  <si>
    <t>27.02.2026</t>
  </si>
  <si>
    <t>16</t>
  </si>
  <si>
    <t>17</t>
  </si>
  <si>
    <t>18</t>
  </si>
  <si>
    <t>19</t>
  </si>
  <si>
    <t>20</t>
  </si>
  <si>
    <t>21</t>
  </si>
  <si>
    <t>PUMP- A10VSO140 DR/31R-PPB12N00</t>
  </si>
  <si>
    <t>THM HUADE</t>
  </si>
  <si>
    <t>AA4VSO 250 DR/30R-PPB13N00</t>
  </si>
  <si>
    <t>242/25-26</t>
  </si>
  <si>
    <t>28.02.2026</t>
  </si>
  <si>
    <t xml:space="preserve"> 2100992549/J13- GAMARIA- JSR</t>
  </si>
  <si>
    <t>PLATE HEAT EXCHANGER- V62PX180-1-GA-150-R0</t>
  </si>
  <si>
    <t xml:space="preserve"> 2100992665/S07- SAHIBABAD-UP</t>
  </si>
  <si>
    <t>CARTRIDGE KIT- 42GPM PUMP 4520VQ42A8</t>
  </si>
  <si>
    <t>PLATE HEAT EXCHANGER- V62PX180</t>
  </si>
  <si>
    <t>243/25-26</t>
  </si>
  <si>
    <t>TATA- GAMARIA</t>
  </si>
  <si>
    <t>22.06.26</t>
  </si>
  <si>
    <t>SANKALP, DISPATCH</t>
  </si>
  <si>
    <t xml:space="preserve"> 2100992426/101- GAMARIA</t>
  </si>
  <si>
    <t>27.07.2026</t>
  </si>
  <si>
    <t>4WRKE 16 W6-125L-35/6EG24ETK31/A1D3M</t>
  </si>
  <si>
    <t>VALVE- 4WRKE 16 W6-125L-35/6EG24ETK31/A1D3M</t>
  </si>
  <si>
    <t>244/25-26</t>
  </si>
  <si>
    <t>245/25-26</t>
  </si>
  <si>
    <t>246/25-26</t>
  </si>
  <si>
    <t>TATA- SAHIBABAD</t>
  </si>
  <si>
    <t>PPHB-LAN</t>
  </si>
  <si>
    <t>CKCB-XFN-YEV/S</t>
  </si>
  <si>
    <t>NFFD-LIN</t>
  </si>
  <si>
    <t>2100993032/L01-LUDHIANA</t>
  </si>
  <si>
    <t>MOGLIX- VEDANTA</t>
  </si>
  <si>
    <t>PLATE WITH GASKET- PG-V62P-NBR</t>
  </si>
  <si>
    <t>247/25-26</t>
  </si>
  <si>
    <t>14 TO 18 WEEKS</t>
  </si>
  <si>
    <t>09.07.26</t>
  </si>
  <si>
    <t>11.06.26</t>
  </si>
  <si>
    <t>MSCP-03-LA-10</t>
  </si>
  <si>
    <t>07.03.26</t>
  </si>
  <si>
    <t>05.07.26</t>
  </si>
  <si>
    <t>Filter Element 2.0059 H10XL-A00-6-M - R928007133</t>
  </si>
  <si>
    <t>MOGLIX5325100101851089</t>
  </si>
  <si>
    <t>01.09.26</t>
  </si>
  <si>
    <t>PROCESS ENGINEERS AND ASSOCIATES</t>
  </si>
  <si>
    <t>PLATE HEAT EXCHANGER- P11M-IN-103-N (P11MM-IN-103-N-MP )</t>
  </si>
  <si>
    <t>MOGLIX5325100201851046</t>
  </si>
  <si>
    <t>25.06.26</t>
  </si>
  <si>
    <t>MOGLIX5325100201851118</t>
  </si>
  <si>
    <t>BUTTERFLY VALVE- 400</t>
  </si>
  <si>
    <t>BUTTERFLY VALVE SLEEV- 400NB</t>
  </si>
  <si>
    <t>SRK ENGG</t>
  </si>
  <si>
    <t>Seal Kit-125x Rod70xStroke40</t>
  </si>
  <si>
    <t>2.0059 H10XL-A00-6-M , PN- R928007133</t>
  </si>
  <si>
    <t>248/25-26</t>
  </si>
  <si>
    <t>249/25-26</t>
  </si>
  <si>
    <t>01 WEEKS</t>
  </si>
  <si>
    <t>2100991895/101- TISCO</t>
  </si>
  <si>
    <t>REBAR LOCATOR &amp; COVER METER ,PROCEQ SWIT</t>
  </si>
  <si>
    <t>5959A5119</t>
  </si>
  <si>
    <t>NON- RETURN VALVE- 100NB</t>
  </si>
  <si>
    <t>AIMIL LTD</t>
  </si>
  <si>
    <t>PM8000 Pro- Profometer PM8000 Pro Rebar
Diameter + Cover Meter</t>
  </si>
  <si>
    <t>252/25-26</t>
  </si>
  <si>
    <t>R K ENGG</t>
  </si>
  <si>
    <t>251/25-26</t>
  </si>
  <si>
    <t>02 WEEKS</t>
  </si>
  <si>
    <t>PROCESS ENGG</t>
  </si>
  <si>
    <t>PLATE HEAT EXCHANGER- P11MM-IN-103-N-MP</t>
  </si>
  <si>
    <t>253/25-26</t>
  </si>
  <si>
    <t>TATA, 500 DISPATCH</t>
  </si>
  <si>
    <t>2100994726/175- DUBRI</t>
  </si>
  <si>
    <t>5243A6903</t>
  </si>
  <si>
    <t>SEAL KIT- O.VENT.A4VS250/30-P+&amp;, PN- PN- R902416676</t>
  </si>
  <si>
    <t>255/25-26</t>
  </si>
  <si>
    <t>EXCELLENT- 450 DISPATCH</t>
  </si>
  <si>
    <t>2100986352/A01-DHENKANAL</t>
  </si>
  <si>
    <t>5245A1776</t>
  </si>
  <si>
    <t>5289A1488</t>
  </si>
  <si>
    <t>FILTER ELEMENT- 9.160LA PWR10-F00-0-M
PN- R928017218
MAKE:BOSCH REXROTH</t>
  </si>
  <si>
    <t>5261A5146</t>
  </si>
  <si>
    <t>CHECK VALVE- Z2FS10-5-3X/V
PN- R900517812
MAKE:REXROTH</t>
  </si>
  <si>
    <t>5289A1138</t>
  </si>
  <si>
    <t>FILTER ELEMENT - 10.330LA PWR10-A00-6-M
SO3000
EQUIVALENT- 10.330LA H10XL-A00-6-M SO3000 MAKE:REXROTH .
PN- R928017552</t>
  </si>
  <si>
    <t>5243A2218</t>
  </si>
  <si>
    <t>CHECK VALVE- Z2S6-1-6X/, PN-R900347495</t>
  </si>
  <si>
    <t>5289A1484</t>
  </si>
  <si>
    <t>FILTER ELEMENT 16.9800/S PWR3-E00-0-M
PN- R928017009 MAKE:REXROTH</t>
  </si>
  <si>
    <t>5455A1075</t>
  </si>
  <si>
    <t>VARIABLE DISP. PISTON PUMP- - A A10VSO 45 DFR1/31R-VPA12N00
PN- R910967365 MAKE:REX0RTH</t>
  </si>
  <si>
    <t>5261A5145</t>
  </si>
  <si>
    <t>CHECK VALVE- S10A1.0/, MAKE- REXROTH ,PN- R900420531</t>
  </si>
  <si>
    <t>5261A3203</t>
  </si>
  <si>
    <t>FLOW CONTROL PART NUMBER:R900989095
MAKE:REXROTH                                              SPECIFICATION:-Z2FS 10-5-3X/</t>
  </si>
  <si>
    <t>5261A3197</t>
  </si>
  <si>
    <t xml:space="preserve">PROPORTIONAL VALVE- 4WREE6V32-2X/G24K31/F1V
PN- R900926747 MAKE:REXROTH           </t>
  </si>
  <si>
    <t>5243A6496</t>
  </si>
  <si>
    <t>MEASURING COUPLING FCE HYD- MCS20-SDS-E-G1/4-ST3&amp;
PART NUMBER:R900009090
MAKE:HYDROTECHNIK</t>
  </si>
  <si>
    <t>5261A2928</t>
  </si>
  <si>
    <t>PR.REDUCING VALVE- DR20-5-5X/200YM ,REXROTH ,R900597233</t>
  </si>
  <si>
    <t>5345Y0379</t>
  </si>
  <si>
    <t>SEALKIT CDH.140/90/950MM
PART NUMBER:R900858281 MAKE:REXROTH         SPECIAL FEATURES:CDH1MT4/140/90/950A3X/B11CSDMW</t>
  </si>
  <si>
    <t>5345Y0380</t>
  </si>
  <si>
    <t>SEALKIT CDH.100/056MM
PART NUMBER:R900853936 MAKE:REXROTH
PARENT EQUIPMENT:REVERSING CYLINDER
SPECIALFEATURES:CDH1MS2/100/56/600A3X/B11CSDMW</t>
  </si>
  <si>
    <t>5267Y0111</t>
  </si>
  <si>
    <t>HY.CYLINDER MS2/100/56/900
TYPE:DIFFERENTIAL CYLINDER
MAXIMUM WORKING PRESSURE:230 BAR
PARTNUMBER:CDH1MS2/100/56/900A3X/B11CSDMW  MAKE:REXROTH</t>
  </si>
  <si>
    <t>5289A1493</t>
  </si>
  <si>
    <t>SANKLAP</t>
  </si>
  <si>
    <t xml:space="preserve">HENGST </t>
  </si>
  <si>
    <t>2100994986/A01- DHENAKANAL</t>
  </si>
  <si>
    <t>INSERT BETWEEN VALVE-400MM, M- 250-08, SR-40, SR (</t>
  </si>
  <si>
    <t>256/25-26</t>
  </si>
  <si>
    <t>SERIES-25, 250-08-SR-40</t>
  </si>
  <si>
    <t>SERIES-25, 250-DA-07</t>
  </si>
  <si>
    <t>REPAIR KIT DN 400</t>
  </si>
  <si>
    <t>SERIES-50, DN-400 MM</t>
  </si>
  <si>
    <t>258/25-16</t>
  </si>
  <si>
    <t>R900517812	 - Z2FS10-5-3X/V</t>
  </si>
  <si>
    <t xml:space="preserve">R900347495	     -    Z2S6-1-6X/	 </t>
  </si>
  <si>
    <t>R910967365	 - A A10VSO 45 DFR1/31R-VPA12N00</t>
  </si>
  <si>
    <t>R900420531	 -       S10A1.0/</t>
  </si>
  <si>
    <t xml:space="preserve">R900989095	 -    Z2FS10-5-3X/	</t>
  </si>
  <si>
    <t>R900926747	 - 4WREE6V32-2X/G24K31/F1V</t>
  </si>
  <si>
    <t>R900009090	 - MEASURING COUPLING MCS20-SDS-E-G1/4-ST3&amp;</t>
  </si>
  <si>
    <t>R900597233    -   DR20-5-5X/200YM</t>
  </si>
  <si>
    <t>R900858281	SEAL KIT CDH.140/090M</t>
  </si>
  <si>
    <t>R900853936	SEAL KIT CDH.100/056M</t>
  </si>
  <si>
    <t>CDH1MS2/100/56/900A3X/B11CSDMW</t>
  </si>
  <si>
    <t>9.160LA PWR10-F00-0-M
SO3000</t>
  </si>
  <si>
    <t>10.330LA PWR10-A00-6-M
SO3000</t>
  </si>
  <si>
    <t>16.9800/S PWR3-E00-0-M</t>
  </si>
  <si>
    <t>10.330LA PWR20-A00-6-M
SO3000</t>
  </si>
  <si>
    <t>257/25-26</t>
  </si>
  <si>
    <t>2100978616/101-TISCO</t>
  </si>
  <si>
    <t>2100995391/107- DHENAKANAL</t>
  </si>
  <si>
    <t>24.08.2026</t>
  </si>
  <si>
    <t>5202Y0007</t>
  </si>
  <si>
    <t>GEAR PUMP- MFE5-2000-D+299</t>
  </si>
  <si>
    <t>ZDR6-DA2-4X/150Y, PN- R900410806</t>
  </si>
  <si>
    <t>RUNGTA MINES</t>
  </si>
  <si>
    <t>4500199759- DHENAKANAL</t>
  </si>
  <si>
    <t>HYD OIL FILTER- 0330-R-005-ON/KB</t>
  </si>
  <si>
    <t>A S BEARING</t>
  </si>
  <si>
    <t xml:space="preserve"> A S BEARING COMPANY</t>
  </si>
  <si>
    <t>261/25-26</t>
  </si>
  <si>
    <t>2100995747/175- DUBURI</t>
  </si>
  <si>
    <t>5778A9404</t>
  </si>
  <si>
    <t>5778A9367</t>
  </si>
  <si>
    <t>5778A9368</t>
  </si>
  <si>
    <t>CHANNEL GASKET- VE41P</t>
  </si>
  <si>
    <t>CHANNEL GASKET- V41P</t>
  </si>
  <si>
    <t>CHANNEL GASKET- V61P</t>
  </si>
  <si>
    <t>262/25-26</t>
  </si>
  <si>
    <t>TATA- DUBURI</t>
  </si>
  <si>
    <t>09.06.26</t>
  </si>
  <si>
    <t>HINDALCO- FRP</t>
  </si>
  <si>
    <t>SERIES-65, NB - 32 MM</t>
  </si>
  <si>
    <t>SERIES-64, NB-25 MM</t>
  </si>
  <si>
    <t>SERIES-65, NB-50 MM</t>
  </si>
  <si>
    <t>SERIES-65, NB-65 MM</t>
  </si>
  <si>
    <t>2100994454/101- TISCO</t>
  </si>
  <si>
    <t>07.008.26</t>
  </si>
  <si>
    <t>A A4VSO 250 LR2G /30R-PPB13N00</t>
  </si>
  <si>
    <t>263/25-26</t>
  </si>
  <si>
    <t>2100995527/101- BISTUPUR</t>
  </si>
  <si>
    <t>5261A1293</t>
  </si>
  <si>
    <t>SV10PA 1-4X/, PN- R900483369</t>
  </si>
  <si>
    <t>FILTER ELEMENT TYPE:RETURN FILTER MICRON RATING:20 µM
PART NUMBER:R928017551, MAKE:BOSCH REXROTH</t>
  </si>
  <si>
    <t>264/25-26</t>
  </si>
  <si>
    <t>SUCTION STRAINER-SC3-40 2"</t>
  </si>
  <si>
    <t>SUCTION STRAINER-SC3-050</t>
  </si>
  <si>
    <t>SUCTION STRAINER-SC3-100X3"</t>
  </si>
  <si>
    <t>Suction Stainer SC3-005 - 1/2"</t>
  </si>
  <si>
    <t>SUCTION STRAINER- SC3-010 - 1"</t>
  </si>
  <si>
    <t>SUCTION STRAINER-SC3-007X 3/4"</t>
  </si>
  <si>
    <t>SC3-30X1 1/2"BSP</t>
  </si>
  <si>
    <t>HL-TIF2-08-B-P25</t>
  </si>
  <si>
    <t>OFFICE STOCK</t>
  </si>
  <si>
    <t>HENAN</t>
  </si>
  <si>
    <t>265/25-26</t>
  </si>
  <si>
    <t>SV 10 PA1-4X/</t>
  </si>
  <si>
    <t>266/25-26</t>
  </si>
  <si>
    <t>CYXX/360/200/A/SP/H0&amp;</t>
  </si>
  <si>
    <t>CYH1/250/140/A/SP</t>
  </si>
  <si>
    <t>CYH1/320/180/A/SP</t>
  </si>
  <si>
    <t>CYH1/160/100/A/H00117</t>
  </si>
  <si>
    <t>2100996137/175-JAJPUR</t>
  </si>
  <si>
    <t>28.08.2026</t>
  </si>
  <si>
    <t>5345A5822</t>
  </si>
  <si>
    <t>5345A5825</t>
  </si>
  <si>
    <t>5345A5824</t>
  </si>
  <si>
    <t>5345A5823</t>
  </si>
  <si>
    <t>4700152723/101- BISTUPUR</t>
  </si>
  <si>
    <t>90 DAYS</t>
  </si>
  <si>
    <t>RAJDEEP</t>
  </si>
  <si>
    <t>FILTER ELEMENT- DFB-H160X10C</t>
  </si>
  <si>
    <t>FILTER ELEMENT-  SRFA250X20-Y</t>
  </si>
  <si>
    <t>268/25-26</t>
  </si>
  <si>
    <t>FILTER ELEMENT-  SRFA250X10-Y</t>
  </si>
  <si>
    <t>FILTER ELEMENT-  DFB -H330X10C</t>
  </si>
  <si>
    <t>FILTER ELEMENT-  DFB-H500X10C</t>
  </si>
  <si>
    <t>FILTER ELEMENT-  SRFA630X10-Y</t>
  </si>
  <si>
    <t>FILTER ELEMENT-  SRFA630X20-Y</t>
  </si>
  <si>
    <t>26.06.2026</t>
  </si>
  <si>
    <t>FLOW CONTROL VALVE-  Z2FS 22-8-3X/S2</t>
  </si>
  <si>
    <t>SERIES-64, NB-40 MM</t>
  </si>
  <si>
    <t>SPLENDENT</t>
  </si>
  <si>
    <t>2025/0652</t>
  </si>
  <si>
    <t>FQGA-XAN</t>
  </si>
  <si>
    <t>VALVE- FQGA-XAN</t>
  </si>
  <si>
    <t>270/25-26</t>
  </si>
  <si>
    <t>27.06.2026</t>
  </si>
  <si>
    <t>SO NO- 496308, DT- 14.03.2026</t>
  </si>
  <si>
    <t>SVP2-F-F-47-RAA-20</t>
  </si>
  <si>
    <t>SVP2-F-F-33-RAA-20</t>
  </si>
  <si>
    <t>30.07.2026</t>
  </si>
  <si>
    <t>2100996568/101-BISTUPUR</t>
  </si>
  <si>
    <t>25.09.2026</t>
  </si>
  <si>
    <t>5455A0157</t>
  </si>
  <si>
    <t>PUMP- A A4VSO 250 LR2DM /30R-VPB13N00</t>
  </si>
  <si>
    <t>271/25-26</t>
  </si>
  <si>
    <t>A A4VSO 250 LR2DM /30R-VPB13N00</t>
  </si>
  <si>
    <t>2100997176/A01- DHENKANAL</t>
  </si>
  <si>
    <t>24.07.2026</t>
  </si>
  <si>
    <t>5245A0607</t>
  </si>
  <si>
    <t>LUBRICATION FILTER,X84004</t>
  </si>
  <si>
    <t>5245A0639</t>
  </si>
  <si>
    <t xml:space="preserve"> FILTER ASSLY WITH GASKET- 528-30822-1</t>
  </si>
  <si>
    <t>ECCENTRIC SHAFT,405-20316-2</t>
  </si>
  <si>
    <t>5245A0649</t>
  </si>
  <si>
    <t>2100997232/101- DHENKANAL</t>
  </si>
  <si>
    <t>5289A0987</t>
  </si>
  <si>
    <t>9.140LA PWR10-A00-0-M</t>
  </si>
  <si>
    <t>5289A0988</t>
  </si>
  <si>
    <t>9.330LA PWR10-A00-0-M</t>
  </si>
  <si>
    <t>5289A0986</t>
  </si>
  <si>
    <t>10.660LA PWR10-A00-6-M</t>
  </si>
  <si>
    <t>10.330LA PWR6-A00-6-M</t>
  </si>
  <si>
    <t>9.240LA PWR6-A00-0-M</t>
  </si>
  <si>
    <t>10.330LA PWR6-A00-0-M</t>
  </si>
  <si>
    <t>U125Y-02504</t>
  </si>
  <si>
    <t xml:space="preserve"> MPB-01-2-40H01</t>
  </si>
  <si>
    <t>MHA-01-C-2080</t>
  </si>
  <si>
    <t>MSW-04-X-30</t>
  </si>
  <si>
    <t>DSHG-04-3C2-T-D24-N1-50</t>
  </si>
  <si>
    <t xml:space="preserve"> CIT-06-75-2080</t>
  </si>
  <si>
    <t xml:space="preserve"> MSW-03-XL-20H10</t>
  </si>
  <si>
    <t>05</t>
  </si>
  <si>
    <t>06</t>
  </si>
  <si>
    <t>07</t>
  </si>
  <si>
    <t>11</t>
  </si>
  <si>
    <t>12</t>
  </si>
  <si>
    <t>13</t>
  </si>
  <si>
    <t>5289A0407</t>
  </si>
  <si>
    <t>5289A0900</t>
  </si>
  <si>
    <t>5289A0387</t>
  </si>
  <si>
    <t>2100997750/101- TISO- BISTUPUR</t>
  </si>
  <si>
    <t>25.03.2026</t>
  </si>
  <si>
    <t>5261A0058</t>
  </si>
  <si>
    <t>2100997752/101- TISO- BISTUPUR</t>
  </si>
  <si>
    <t>0110R003BN3HC, PN- 1063124B</t>
  </si>
  <si>
    <t>5289A1195</t>
  </si>
  <si>
    <t>0330R 010BN4HC, PN- 1063288B</t>
  </si>
  <si>
    <t>5289A0495</t>
  </si>
  <si>
    <t>5243A0045</t>
  </si>
  <si>
    <t>0240 R005 BN3HC, PN- 1063226B</t>
  </si>
  <si>
    <t>0160R005BN3HC/RF BN/HC 160DE501 0/L24, PN 1063186B</t>
  </si>
  <si>
    <t>0850R020BN4HC, PN- 1063397B</t>
  </si>
  <si>
    <t>5243A1763</t>
  </si>
  <si>
    <t>5289A0983</t>
  </si>
  <si>
    <t>4WRDE 16 V125L-5X/6L24ETK9/M, PN- R900954172</t>
  </si>
  <si>
    <t>003/228/2502003550/2500302983- SYSTEM &amp; ENGG</t>
  </si>
  <si>
    <t>272/25-26</t>
  </si>
  <si>
    <t>26.03.2026</t>
  </si>
  <si>
    <t>274/25-26</t>
  </si>
  <si>
    <t>TATA- TISCO- BISTUPUR</t>
  </si>
  <si>
    <t>X528-30822-1</t>
  </si>
  <si>
    <t>267/25-26</t>
  </si>
  <si>
    <t>FILTER ASSEMBLY, X528-30822-1, LINCON</t>
  </si>
  <si>
    <t>1 This is ARC item Valid from 15.03.26 to 15.03.27                  2.Every Month Required Qty 50 to 55 Nos</t>
  </si>
  <si>
    <t>08 WEEKS</t>
  </si>
  <si>
    <t>279/25-26</t>
  </si>
  <si>
    <t>PLATE HEAT EXCAHNGER- V10TPX38</t>
  </si>
  <si>
    <t>2G11/F26/0156</t>
  </si>
  <si>
    <t>2G11/F26/0162</t>
  </si>
  <si>
    <t>2G11/F26/0171</t>
  </si>
  <si>
    <t>MPW-03-2-20H01</t>
  </si>
  <si>
    <t>2G11/F26/0177</t>
  </si>
  <si>
    <t>C-SA3-240-51</t>
  </si>
  <si>
    <t>2G11/F26/0151</t>
  </si>
  <si>
    <t>DSG-01-3C2-A240-N1-50</t>
  </si>
  <si>
    <t>2G11/F26/0174</t>
  </si>
  <si>
    <t>2G11/F26/0165</t>
  </si>
  <si>
    <t>DMG-06-3C60-50</t>
  </si>
  <si>
    <t>2G11/F26/0144</t>
  </si>
  <si>
    <t>2G11/F26/0130</t>
  </si>
  <si>
    <t>HCG-10-C2-21</t>
  </si>
  <si>
    <t>2G11/F26/0128</t>
  </si>
  <si>
    <t>HPV22M-17-05-F-RAAA-U0-K1-10</t>
  </si>
  <si>
    <t>2G11/F26/0170</t>
  </si>
  <si>
    <t>PVR50-F-F-56-RAA-3280</t>
  </si>
  <si>
    <t>2G11/F26/0176</t>
  </si>
  <si>
    <t>AR16-FR01C-22</t>
  </si>
  <si>
    <t>2G11/F26/0147</t>
  </si>
  <si>
    <t>MPB-03-2-20H01</t>
  </si>
  <si>
    <t>2G11/F26/0158</t>
  </si>
  <si>
    <t>2G11/F26/0153</t>
  </si>
  <si>
    <t>MBP-03-H-20</t>
  </si>
  <si>
    <t>DSG-03-3C2-A240-N1-50</t>
  </si>
  <si>
    <t>2G11/F26/0157</t>
  </si>
  <si>
    <t>PVR1050-SHAFT ASSY</t>
  </si>
  <si>
    <t>INVOICE NO</t>
  </si>
  <si>
    <t>INVOICE  DATE</t>
  </si>
  <si>
    <t>PR. GAUGE- HESGS50-24-01</t>
  </si>
  <si>
    <t>PRISM</t>
  </si>
  <si>
    <t>2100998501/A01</t>
  </si>
  <si>
    <t>27.03.2026</t>
  </si>
  <si>
    <t>25.08.2026</t>
  </si>
  <si>
    <t>6221A1028</t>
  </si>
  <si>
    <t>MAIN OIL PUMP ,R902197775</t>
  </si>
  <si>
    <t>6221A1032</t>
  </si>
  <si>
    <t>PRESSURE RELIEF VALVE- R900906350</t>
  </si>
  <si>
    <t>6221A1037</t>
  </si>
  <si>
    <t>VALVE- R900551703</t>
  </si>
  <si>
    <t>6221A1036</t>
  </si>
  <si>
    <t>FLOW CONTROL VALVE- R900481623</t>
  </si>
  <si>
    <t>6221A1035</t>
  </si>
  <si>
    <t>CHECK VALVE- R900347495</t>
  </si>
  <si>
    <t>6221A1038</t>
  </si>
  <si>
    <t>PR RELIEF VALVE- R900423725</t>
  </si>
  <si>
    <t>6221A1039</t>
  </si>
  <si>
    <t>PRESSURE SWITCH- R901107093</t>
  </si>
  <si>
    <t>6221A1029</t>
  </si>
  <si>
    <t>RETURN FILTER ,1063187B</t>
  </si>
  <si>
    <t>6221A1030</t>
  </si>
  <si>
    <t>PRESSURE GAUGE ,R983001970</t>
  </si>
  <si>
    <t>6221A1034</t>
  </si>
  <si>
    <t>PRESSURE GAUGE ,R983001950</t>
  </si>
  <si>
    <t>6221A1031</t>
  </si>
  <si>
    <t>CHANGE OVER VALVE ,R901495477</t>
  </si>
  <si>
    <t>278/25-26</t>
  </si>
  <si>
    <t>12 TO 16 WEEKS</t>
  </si>
  <si>
    <t>4WRDE 16 V125L-5X/6L24ETK9/M</t>
  </si>
  <si>
    <t>2300078969/A05 - DHENKANAL</t>
  </si>
  <si>
    <t>18.08.2026</t>
  </si>
  <si>
    <t>5261A5057</t>
  </si>
  <si>
    <t>5261A4808</t>
  </si>
  <si>
    <t>5261A5072</t>
  </si>
  <si>
    <t>5261A1290</t>
  </si>
  <si>
    <t>5261A1360</t>
  </si>
  <si>
    <t>5261A0691</t>
  </si>
  <si>
    <t>5261A0319</t>
  </si>
  <si>
    <t>5261A0399</t>
  </si>
  <si>
    <t>5261A1153</t>
  </si>
  <si>
    <t>5261A3547</t>
  </si>
  <si>
    <t>5261A2161</t>
  </si>
  <si>
    <t>5261A0794</t>
  </si>
  <si>
    <t>5261A3215</t>
  </si>
  <si>
    <t>5261A2098</t>
  </si>
  <si>
    <t>5261A2653</t>
  </si>
  <si>
    <t>5261A1545</t>
  </si>
  <si>
    <t>5243A3603</t>
  </si>
  <si>
    <t>5261A6723</t>
  </si>
  <si>
    <t>5261A6724</t>
  </si>
  <si>
    <t>5261A3545</t>
  </si>
  <si>
    <t>5261A6685</t>
  </si>
  <si>
    <t>5261A5885</t>
  </si>
  <si>
    <t>CHECK VALVE  PART NUMBER:S25A3.0  MAKE:BOSCH-REXROTH</t>
  </si>
  <si>
    <t>PRESSURE RELIEF VALVE DBDS10K1X/XXX , R900424150</t>
  </si>
  <si>
    <t>CARTRIDGE VALVE R900344549  M-SR10 KE05 -1X/-HY-CHECK VALVE</t>
  </si>
  <si>
    <t xml:space="preserve">CHECK VALVE  S20A1.0 </t>
  </si>
  <si>
    <t>DIRCTION CONTROL 4WRKE-25W8-350L-3X/6EG24ETK31/ R900743953</t>
  </si>
  <si>
    <t>DIRECTION CONTROL ,R900561274 ,4WE 6 D6X/EG24N9K4</t>
  </si>
  <si>
    <t>CHECK VALVE ,M-SR8 KE05-1X  ,R900346083</t>
  </si>
  <si>
    <t xml:space="preserve">CHECK VALVE S.06.A 1.0 </t>
  </si>
  <si>
    <t>CHECK VALVE, NG20 M-SR20KE05-1XMAKE : REXROTH</t>
  </si>
  <si>
    <t>CHECK VALVE ,R900420519</t>
  </si>
  <si>
    <t>CHECK VALVER 900420511 , S25 A1.0</t>
  </si>
  <si>
    <t>DIRECTION CONTROL VALVE:4WE6J6X/EG24K4QROG24S/V   R901213982</t>
  </si>
  <si>
    <t>PRESSURE REDUCING VALVE : DR6 DP2-5X/210YM</t>
  </si>
  <si>
    <t>CHECK VALVE :"M-SR 25 KE05-1X/ , R900344778</t>
  </si>
  <si>
    <t>LOGIC CARTRIDGE VALVE :LC32DB05E7X/ R900912551</t>
  </si>
  <si>
    <t>CATRIDGE LOGIC COVER LFA32DB2-7X/025 ,R900935399</t>
  </si>
  <si>
    <t>DIRECTIONAL SPOOL VALVE  R900561276 ,4WE6Y6X/EG24N9K4</t>
  </si>
  <si>
    <t>CHECK VALVE- Z4S-16-2X ,R900425901</t>
  </si>
  <si>
    <t xml:space="preserve">4 WAY DIRECTIONAL VALVE 4 WEH 10 J4X/6EG24N9ETK4 </t>
  </si>
  <si>
    <t>PROPORTIONAL DC 4WRZE16W8-150-7X/6EG24N9TK31/F ,R901072852</t>
  </si>
  <si>
    <t>PRESSURE RELIEF VALVE DBDS 10 K1X/315</t>
  </si>
  <si>
    <t>FLOW CONTROL VALVE2FRM 16-3X/160L</t>
  </si>
  <si>
    <t xml:space="preserve">2100998289/A01 - DHENKANAL </t>
  </si>
  <si>
    <t>13.08.2026</t>
  </si>
  <si>
    <t>5245A0651</t>
  </si>
  <si>
    <t>Set of Seals ZPU 08/14 pump  -505-30825-1</t>
  </si>
  <si>
    <t>5245A0930</t>
  </si>
  <si>
    <t>CHANGE OVER VALVE - 617-28620-1</t>
  </si>
  <si>
    <t>5245Y0002</t>
  </si>
  <si>
    <t>CHECK VALVE ASSEMBLY :500-30012-3</t>
  </si>
  <si>
    <t>5245A1262</t>
  </si>
  <si>
    <t>CHECK VALVE WITH GASKET :505-36089-1</t>
  </si>
  <si>
    <t>5245Y0022</t>
  </si>
  <si>
    <t>REPAIR KIT FOR AIRMOTOR SET - 84793</t>
  </si>
  <si>
    <t>5245Y0021</t>
  </si>
  <si>
    <t>REPAIR KIT FOR DRUM PUMP SET - 86234</t>
  </si>
  <si>
    <t>5245A0622</t>
  </si>
  <si>
    <t>LINCOLN PUMP ELEMENT &amp; O-RING -  X505-30405-3</t>
  </si>
  <si>
    <t>5245A1060</t>
  </si>
  <si>
    <t>LUBRICANT FILTER AFTER PUMP - X84004</t>
  </si>
  <si>
    <t>5245Y0008</t>
  </si>
  <si>
    <t>FILTER ELEMENT - 69524</t>
  </si>
  <si>
    <t>5245Y0031</t>
  </si>
  <si>
    <t>SHAFT SUPPORT ASSY. - 505-30410-1</t>
  </si>
  <si>
    <t>5245A0652</t>
  </si>
  <si>
    <t>Stirrer paddle - 314-18613-1</t>
  </si>
  <si>
    <t>5245A0685</t>
  </si>
  <si>
    <t>ROLLER PIN - T45-504002-9</t>
  </si>
  <si>
    <t>5245A0683</t>
  </si>
  <si>
    <t>Stirrer Shaft -  405-20306-1</t>
  </si>
  <si>
    <t>5245A0654</t>
  </si>
  <si>
    <t>ROLL PIN - T45-504001-9</t>
  </si>
  <si>
    <t xml:space="preserve">TOTAL </t>
  </si>
  <si>
    <t>280/25-26</t>
  </si>
  <si>
    <t>PLATE HEAT EXCHANGER- PHE- V10TPX38</t>
  </si>
  <si>
    <t>001/26-27</t>
  </si>
  <si>
    <t>02 TO 03 WEEKS</t>
  </si>
  <si>
    <t>22.04.26</t>
  </si>
  <si>
    <t>16 to 20 WEEKS</t>
  </si>
  <si>
    <t>GASKET- NT-150L</t>
  </si>
  <si>
    <t>GASKET-VT20-EPDM</t>
  </si>
  <si>
    <t>GASKET- NT250S-EPDM</t>
  </si>
  <si>
    <t>002/26-27</t>
  </si>
  <si>
    <t>28.05.26</t>
  </si>
  <si>
    <t>30.03.2026</t>
  </si>
  <si>
    <t>BELT CANVAS- 2500MM WIDTH x 11400MM ENDLESS</t>
  </si>
  <si>
    <t>SIDEWALL CONVEYOR POLYURETHEN BELT FOR SCRAP- 700mm Width - 4mm Thick - 24100mm Endless</t>
  </si>
  <si>
    <t>MILETECH CONVEYOR BELT</t>
  </si>
  <si>
    <t>275/25-26</t>
  </si>
  <si>
    <t>10 TO 12 DAYS</t>
  </si>
  <si>
    <t>003/25-26</t>
  </si>
  <si>
    <t>004/25-26</t>
  </si>
  <si>
    <t>VALVE-  4WRZE16W8-150-7X/6EG24N9TK31/F ,R901072852</t>
  </si>
  <si>
    <t>Shashank Shekhar</t>
  </si>
  <si>
    <t>Gitanjali Mohanta</t>
  </si>
  <si>
    <t>Sankalp</t>
  </si>
  <si>
    <t>Raj Vardhan</t>
  </si>
  <si>
    <t>Rajesh Bhatt</t>
  </si>
  <si>
    <t>VALVE- DPR-H-10-T-315 -11 - DRVH10G-315-01</t>
  </si>
  <si>
    <t xml:space="preserve"> 2100998736/K01- KHOPOLI</t>
  </si>
  <si>
    <t>5261A6442</t>
  </si>
  <si>
    <t>5261A6820</t>
  </si>
  <si>
    <t>5261A4777</t>
  </si>
  <si>
    <t>5261A6811</t>
  </si>
  <si>
    <t>5261A6819</t>
  </si>
  <si>
    <t>5261A5755</t>
  </si>
  <si>
    <t>5261Y0275</t>
  </si>
  <si>
    <t>5261A0561</t>
  </si>
  <si>
    <t>5261A6461</t>
  </si>
  <si>
    <t>5261A6460</t>
  </si>
  <si>
    <t>5245A0854</t>
  </si>
  <si>
    <t>2100999737/175- DUBRI- JAJPUR</t>
  </si>
  <si>
    <t>VSG-4-KR, VSG-4KRFKM</t>
  </si>
  <si>
    <t>DGMFN-3-Y-B2W-41</t>
  </si>
  <si>
    <t>DGMDC-3-X-TK-41</t>
  </si>
  <si>
    <t>DGMDC-3-XTK-40</t>
  </si>
  <si>
    <t>DGMC-5-BT-FW-30</t>
  </si>
  <si>
    <t>DGFN-06-50</t>
  </si>
  <si>
    <t>DGPC-06-AB-51</t>
  </si>
  <si>
    <t>DGPC 06 A 51</t>
  </si>
  <si>
    <t>DGMPC5ABK30</t>
  </si>
  <si>
    <t>DGMFN 5 X B2W 30</t>
  </si>
  <si>
    <t>005/26-27</t>
  </si>
  <si>
    <t>006/26-27</t>
  </si>
  <si>
    <t>ZPU14G -100XYBU-415V (84131990)</t>
  </si>
  <si>
    <t>TATA-JAJPUR</t>
  </si>
  <si>
    <t>4500201556- KOIRA</t>
  </si>
  <si>
    <t>FILTER ELEMENT- MR6305A010AP01</t>
  </si>
  <si>
    <t>4WRAE 10 W60-22/G24K31/F1V</t>
  </si>
  <si>
    <t>FILTER- 16-DR1401-H10SL-FR-MV22GL-P</t>
  </si>
  <si>
    <t>FILTER- 16-DR-561-H6SL-F-MV-22GL-P</t>
  </si>
  <si>
    <t>FILTER- D142G10AV</t>
  </si>
  <si>
    <t>FILTER- RFBN-660F-10D-1.1/L24</t>
  </si>
  <si>
    <t>4500017135- BARBIL</t>
  </si>
  <si>
    <t>PAD BEARING- HGW-45CC ZAC</t>
  </si>
  <si>
    <t>LUNA</t>
  </si>
  <si>
    <t>23.03..26</t>
  </si>
  <si>
    <t>31.07.2026</t>
  </si>
  <si>
    <t>VALVE, PN- R900426607 (DZ6DP1-5X/150)</t>
  </si>
  <si>
    <t>TATA- STEEL- KHOPOLI</t>
  </si>
  <si>
    <t>SO NO- 20013164, DT- 21.03.2026</t>
  </si>
  <si>
    <t>SO NO- 20012932, DT- 05.02.2026</t>
  </si>
  <si>
    <t>PN- R900931581, LFA40WEA-ZX/</t>
  </si>
  <si>
    <t>PN- R900938018, LC40DR40E7X</t>
  </si>
  <si>
    <t>PN- R900344549, SR10KE05-1X</t>
  </si>
  <si>
    <t>A A10VSO180 DRG /32R-VSD72U00E dt 12.05.26</t>
  </si>
  <si>
    <t>4WREE10V75-2X/G24K31/F1M - dt 21.04.25</t>
  </si>
  <si>
    <t xml:space="preserve">4WREE10W1-75-2X/G24K31/F1M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</si>
</sst>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14009]d\.m\.yy;@"/>
  </numFmts>
  <fonts count="9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sz val="10"/>
      <name val="Cambria"/>
      <family val="1"/>
      <scheme val="major"/>
    </font>
    <font>
      <sz val="11"/>
      <color rgb="FF000000"/>
      <name val="Cambria"/>
      <family val="1"/>
      <scheme val="major"/>
    </font>
    <font>
      <sz val="18"/>
      <color theme="1"/>
      <name val="Cambria"/>
      <family val="1"/>
      <scheme val="major"/>
    </font>
    <font>
      <sz val="11"/>
      <color rgb="FF002060"/>
      <name val="Cambria"/>
      <family val="1"/>
      <scheme val="major"/>
    </font>
    <font>
      <b/>
      <sz val="11"/>
      <color rgb="FF002060"/>
      <name val="Cambria"/>
      <family val="1"/>
    </font>
    <font>
      <sz val="11"/>
      <color theme="1"/>
      <name val="Cambria"/>
      <family val="1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mbria"/>
      <family val="1"/>
      <scheme val="major"/>
    </font>
    <font>
      <sz val="8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1"/>
      <color rgb="FF002060"/>
      <name val="Cambria"/>
      <family val="1"/>
      <scheme val="major"/>
    </font>
    <font>
      <b/>
      <sz val="11"/>
      <name val="Cambria"/>
      <family val="1"/>
      <scheme val="major"/>
    </font>
    <font>
      <sz val="11"/>
      <color rgb="FF9C6500"/>
      <name val="Calibri"/>
      <family val="2"/>
      <scheme val="minor"/>
    </font>
    <font>
      <b/>
      <sz val="12"/>
      <color rgb="FF000099"/>
      <name val="Arial"/>
      <family val="2"/>
    </font>
    <font>
      <sz val="10"/>
      <color rgb="FF000000"/>
      <name val="Segoe UI"/>
      <family val="2"/>
    </font>
    <font>
      <sz val="10"/>
      <color theme="1"/>
      <name val="Arial"/>
      <family val="2"/>
    </font>
    <font>
      <sz val="11"/>
      <color rgb="FF333333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002060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Cambria"/>
      <family val="1"/>
      <scheme val="major"/>
    </font>
    <font>
      <b/>
      <sz val="11"/>
      <color theme="9" tint="-0.499984740745262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mbria"/>
      <family val="1"/>
      <scheme val="major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b/>
      <sz val="11"/>
      <color theme="9" tint="-0.499984740745262"/>
      <name val="Cambria"/>
      <family val="1"/>
      <scheme val="maj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9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b/>
      <sz val="10"/>
      <color rgb="FF002060"/>
      <name val="Arial"/>
      <family val="2"/>
    </font>
    <font>
      <b/>
      <sz val="10"/>
      <color theme="1"/>
      <name val="Cambria"/>
      <family val="1"/>
      <scheme val="major"/>
    </font>
    <font>
      <b/>
      <sz val="10"/>
      <name val="Cambria"/>
      <family val="1"/>
      <scheme val="major"/>
    </font>
    <font>
      <b/>
      <sz val="10"/>
      <color rgb="FF002060"/>
      <name val="Cambria"/>
      <family val="1"/>
      <scheme val="major"/>
    </font>
    <font>
      <sz val="10"/>
      <color theme="1"/>
      <name val="Cambria"/>
      <family val="1"/>
      <scheme val="major"/>
    </font>
    <font>
      <sz val="10"/>
      <color rgb="FF00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2060"/>
      <name val="Calibri"/>
      <family val="2"/>
      <scheme val="minor"/>
    </font>
    <font>
      <b/>
      <i/>
      <sz val="11"/>
      <color rgb="FF002060"/>
      <name val="Cambria"/>
      <family val="1"/>
      <scheme val="major"/>
    </font>
    <font>
      <b/>
      <i/>
      <sz val="11"/>
      <color rgb="FF002060"/>
      <name val="Calibri"/>
      <family val="2"/>
      <scheme val="minor"/>
    </font>
    <font>
      <sz val="10"/>
      <color theme="1"/>
      <name val="Cambria"/>
      <family val="1"/>
    </font>
    <font>
      <sz val="10"/>
      <color rgb="FF002060"/>
      <name val="Arial"/>
      <family val="2"/>
    </font>
    <font>
      <sz val="11"/>
      <color rgb="FF000000"/>
      <name val="Times New Roman"/>
      <family val="1"/>
    </font>
    <font>
      <sz val="10"/>
      <name val="Segoe UI"/>
      <family val="2"/>
    </font>
    <font>
      <sz val="10"/>
      <color rgb="FFFF0000"/>
      <name val="Calibri"/>
      <family val="2"/>
      <scheme val="minor"/>
    </font>
    <font>
      <sz val="10"/>
      <color rgb="FFFF0000"/>
      <name val="Calibri"/>
      <family val="2"/>
    </font>
    <font>
      <b/>
      <sz val="10"/>
      <name val="Calibri"/>
      <family val="2"/>
      <scheme val="minor"/>
    </font>
    <font>
      <sz val="9"/>
      <name val="Calibri"/>
      <family val="2"/>
    </font>
    <font>
      <b/>
      <sz val="10"/>
      <color rgb="FF000000"/>
      <name val="Cambria"/>
      <family val="1"/>
    </font>
    <font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b/>
      <sz val="9"/>
      <color rgb="FF7030A0"/>
      <name val="Calibri"/>
      <family val="2"/>
      <scheme val="minor"/>
    </font>
    <font>
      <sz val="10"/>
      <name val="Calibri"/>
      <family val="2"/>
    </font>
    <font>
      <sz val="10"/>
      <name val="Cambria"/>
      <family val="1"/>
    </font>
    <font>
      <sz val="10"/>
      <color rgb="FF002060"/>
      <name val="Cambria"/>
      <family val="1"/>
      <scheme val="major"/>
    </font>
    <font>
      <sz val="11"/>
      <color rgb="FFFF0000"/>
      <name val="Cambria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B9C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1" fillId="7" borderId="0" applyNumberFormat="0" applyBorder="0" applyAlignment="0" applyProtection="0"/>
  </cellStyleXfs>
  <cellXfs count="79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vertical="center"/>
    </xf>
    <xf numFmtId="43" fontId="2" fillId="0" borderId="0" xfId="1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43" fontId="4" fillId="0" borderId="1" xfId="1" applyFont="1" applyFill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0" borderId="7" xfId="0" applyFont="1" applyBorder="1" applyAlignment="1">
      <alignment vertical="center" wrapText="1"/>
    </xf>
    <xf numFmtId="43" fontId="3" fillId="2" borderId="6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43" fontId="4" fillId="3" borderId="1" xfId="1" applyFont="1" applyFill="1" applyBorder="1" applyAlignment="1">
      <alignment horizontal="right" vertical="center"/>
    </xf>
    <xf numFmtId="43" fontId="4" fillId="3" borderId="1" xfId="1" applyFont="1" applyFill="1" applyBorder="1" applyAlignment="1">
      <alignment vertical="center"/>
    </xf>
    <xf numFmtId="15" fontId="4" fillId="3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readingOrder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43" fontId="4" fillId="0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vertical="center" wrapText="1" readingOrder="1"/>
    </xf>
    <xf numFmtId="43" fontId="3" fillId="2" borderId="3" xfId="1" applyFont="1" applyFill="1" applyBorder="1" applyAlignment="1">
      <alignment vertical="center"/>
    </xf>
    <xf numFmtId="0" fontId="12" fillId="0" borderId="3" xfId="0" applyFont="1" applyBorder="1" applyAlignment="1">
      <alignment horizontal="center" vertical="center" wrapText="1" readingOrder="1"/>
    </xf>
    <xf numFmtId="0" fontId="14" fillId="0" borderId="3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1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46" fontId="4" fillId="0" borderId="1" xfId="0" applyNumberFormat="1" applyFont="1" applyBorder="1" applyAlignment="1">
      <alignment horizontal="center" vertical="center" wrapText="1"/>
    </xf>
    <xf numFmtId="43" fontId="2" fillId="0" borderId="1" xfId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 readingOrder="1"/>
    </xf>
    <xf numFmtId="0" fontId="12" fillId="0" borderId="6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 readingOrder="1"/>
    </xf>
    <xf numFmtId="0" fontId="20" fillId="0" borderId="1" xfId="0" applyFont="1" applyBorder="1" applyAlignment="1" applyProtection="1">
      <alignment horizontal="center" vertical="center" wrapText="1" readingOrder="1"/>
      <protection locked="0"/>
    </xf>
    <xf numFmtId="0" fontId="19" fillId="0" borderId="1" xfId="0" applyFont="1" applyBorder="1" applyAlignment="1" applyProtection="1">
      <alignment horizontal="center" vertical="center" wrapText="1" readingOrder="1"/>
      <protection locked="0"/>
    </xf>
    <xf numFmtId="43" fontId="19" fillId="0" borderId="1" xfId="1" applyFont="1" applyFill="1" applyBorder="1" applyAlignment="1" applyProtection="1">
      <alignment horizontal="center" vertical="center" wrapText="1" readingOrder="1"/>
      <protection locked="0"/>
    </xf>
    <xf numFmtId="0" fontId="19" fillId="0" borderId="1" xfId="0" applyFont="1" applyBorder="1" applyAlignment="1">
      <alignment horizontal="center" vertical="center" wrapText="1" readingOrder="1"/>
    </xf>
    <xf numFmtId="0" fontId="19" fillId="0" borderId="0" xfId="0" applyFont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 readingOrder="1"/>
    </xf>
    <xf numFmtId="0" fontId="12" fillId="0" borderId="6" xfId="0" applyFont="1" applyBorder="1" applyAlignment="1">
      <alignment vertical="center" wrapText="1"/>
    </xf>
    <xf numFmtId="43" fontId="12" fillId="0" borderId="6" xfId="1" applyFont="1" applyFill="1" applyBorder="1" applyAlignment="1">
      <alignment horizontal="center" vertical="center" wrapText="1" readingOrder="1"/>
    </xf>
    <xf numFmtId="0" fontId="12" fillId="0" borderId="0" xfId="0" applyFont="1" applyAlignment="1">
      <alignment horizontal="center" vertical="center" wrapText="1" readingOrder="1"/>
    </xf>
    <xf numFmtId="46" fontId="12" fillId="0" borderId="1" xfId="0" applyNumberFormat="1" applyFont="1" applyBorder="1" applyAlignment="1">
      <alignment horizontal="center" vertical="center" wrapText="1" readingOrder="1"/>
    </xf>
    <xf numFmtId="21" fontId="12" fillId="0" borderId="1" xfId="0" applyNumberFormat="1" applyFont="1" applyBorder="1" applyAlignment="1">
      <alignment horizontal="center" vertical="center" wrapText="1" readingOrder="1"/>
    </xf>
    <xf numFmtId="43" fontId="12" fillId="0" borderId="1" xfId="1" applyFont="1" applyFill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center" vertical="center" wrapText="1" readingOrder="1"/>
    </xf>
    <xf numFmtId="0" fontId="14" fillId="0" borderId="1" xfId="0" applyFont="1" applyBorder="1" applyAlignment="1">
      <alignment vertical="center" wrapText="1"/>
    </xf>
    <xf numFmtId="43" fontId="14" fillId="0" borderId="1" xfId="1" applyFont="1" applyFill="1" applyBorder="1" applyAlignment="1">
      <alignment horizontal="center" vertical="center" wrapText="1" readingOrder="1"/>
    </xf>
    <xf numFmtId="0" fontId="14" fillId="0" borderId="0" xfId="0" applyFont="1" applyAlignment="1">
      <alignment horizontal="center" vertical="center" wrapText="1" readingOrder="1"/>
    </xf>
    <xf numFmtId="14" fontId="12" fillId="0" borderId="1" xfId="0" applyNumberFormat="1" applyFont="1" applyBorder="1" applyAlignment="1">
      <alignment horizontal="center" vertical="center" wrapText="1" readingOrder="1"/>
    </xf>
    <xf numFmtId="21" fontId="0" fillId="0" borderId="1" xfId="0" applyNumberFormat="1" applyBorder="1" applyAlignment="1">
      <alignment horizontal="center" vertical="center" wrapText="1" readingOrder="1"/>
    </xf>
    <xf numFmtId="0" fontId="0" fillId="0" borderId="2" xfId="0" applyBorder="1" applyAlignment="1">
      <alignment horizontal="center" vertical="center" wrapText="1" readingOrder="1"/>
    </xf>
    <xf numFmtId="0" fontId="22" fillId="0" borderId="1" xfId="0" applyFont="1" applyBorder="1" applyAlignment="1">
      <alignment horizontal="center" vertical="center" wrapText="1" readingOrder="1"/>
    </xf>
    <xf numFmtId="0" fontId="22" fillId="0" borderId="0" xfId="0" applyFont="1" applyAlignment="1">
      <alignment horizontal="center" vertical="center" wrapText="1" readingOrder="1"/>
    </xf>
    <xf numFmtId="0" fontId="12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 wrapText="1" readingOrder="1"/>
    </xf>
    <xf numFmtId="0" fontId="14" fillId="0" borderId="1" xfId="0" applyFont="1" applyBorder="1" applyAlignment="1">
      <alignment horizontal="left" vertical="center" wrapText="1" readingOrder="1"/>
    </xf>
    <xf numFmtId="0" fontId="22" fillId="0" borderId="1" xfId="0" applyFont="1" applyBorder="1" applyAlignment="1">
      <alignment vertical="center" wrapText="1"/>
    </xf>
    <xf numFmtId="0" fontId="13" fillId="0" borderId="0" xfId="0" applyFont="1" applyAlignment="1">
      <alignment horizontal="center" vertical="center" wrapText="1" readingOrder="1"/>
    </xf>
    <xf numFmtId="0" fontId="1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 readingOrder="1"/>
    </xf>
    <xf numFmtId="43" fontId="20" fillId="2" borderId="1" xfId="1" applyFont="1" applyFill="1" applyBorder="1" applyAlignment="1">
      <alignment horizontal="center" vertical="center" wrapText="1" readingOrder="1"/>
    </xf>
    <xf numFmtId="0" fontId="12" fillId="0" borderId="1" xfId="0" applyFont="1" applyBorder="1" applyAlignment="1">
      <alignment horizontal="center" vertical="center"/>
    </xf>
    <xf numFmtId="43" fontId="0" fillId="0" borderId="0" xfId="1" applyFont="1" applyFill="1" applyBorder="1" applyAlignment="1">
      <alignment horizontal="center" vertical="center" wrapText="1" readingOrder="1"/>
    </xf>
    <xf numFmtId="0" fontId="0" fillId="0" borderId="10" xfId="0" applyBorder="1" applyAlignment="1">
      <alignment horizontal="center" vertical="center" wrapText="1" readingOrder="1"/>
    </xf>
    <xf numFmtId="0" fontId="23" fillId="0" borderId="0" xfId="0" applyFont="1" applyAlignment="1">
      <alignment vertical="center"/>
    </xf>
    <xf numFmtId="43" fontId="3" fillId="2" borderId="10" xfId="1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5" fillId="0" borderId="1" xfId="0" applyFont="1" applyBorder="1" applyAlignment="1" applyProtection="1">
      <alignment horizontal="left" vertical="center" wrapText="1" readingOrder="1"/>
      <protection locked="0"/>
    </xf>
    <xf numFmtId="0" fontId="25" fillId="0" borderId="1" xfId="0" applyFont="1" applyBorder="1" applyAlignment="1" applyProtection="1">
      <alignment horizontal="center" vertical="center" wrapText="1" readingOrder="1"/>
      <protection locked="0"/>
    </xf>
    <xf numFmtId="43" fontId="25" fillId="0" borderId="1" xfId="1" applyFont="1" applyFill="1" applyBorder="1" applyAlignment="1" applyProtection="1">
      <alignment horizontal="center" vertical="center" wrapText="1" readingOrder="1"/>
      <protection locked="0"/>
    </xf>
    <xf numFmtId="0" fontId="25" fillId="0" borderId="1" xfId="0" applyFont="1" applyBorder="1" applyAlignment="1">
      <alignment horizontal="center" vertical="center" wrapText="1" readingOrder="1"/>
    </xf>
    <xf numFmtId="0" fontId="25" fillId="0" borderId="0" xfId="0" applyFont="1" applyAlignment="1">
      <alignment horizontal="center" vertical="center" wrapText="1" readingOrder="1"/>
    </xf>
    <xf numFmtId="0" fontId="25" fillId="0" borderId="2" xfId="0" applyFont="1" applyBorder="1" applyAlignment="1">
      <alignment horizontal="center" vertical="center" wrapText="1" readingOrder="1"/>
    </xf>
    <xf numFmtId="0" fontId="25" fillId="0" borderId="2" xfId="0" applyFont="1" applyBorder="1" applyAlignment="1">
      <alignment horizontal="left" vertical="center" wrapText="1" readingOrder="1"/>
    </xf>
    <xf numFmtId="43" fontId="25" fillId="0" borderId="2" xfId="1" applyFont="1" applyFill="1" applyBorder="1" applyAlignment="1">
      <alignment horizontal="center" vertical="center" wrapText="1" readingOrder="1"/>
    </xf>
    <xf numFmtId="43" fontId="25" fillId="0" borderId="2" xfId="0" applyNumberFormat="1" applyFont="1" applyBorder="1" applyAlignment="1">
      <alignment horizontal="center" vertical="center" wrapText="1" readingOrder="1"/>
    </xf>
    <xf numFmtId="0" fontId="25" fillId="0" borderId="10" xfId="0" applyFont="1" applyBorder="1" applyAlignment="1">
      <alignment horizontal="center" vertical="center" wrapText="1" readingOrder="1"/>
    </xf>
    <xf numFmtId="0" fontId="25" fillId="0" borderId="8" xfId="0" applyFont="1" applyBorder="1" applyAlignment="1">
      <alignment horizontal="center" vertical="center" wrapText="1" readingOrder="1"/>
    </xf>
    <xf numFmtId="0" fontId="25" fillId="0" borderId="8" xfId="0" applyFont="1" applyBorder="1" applyAlignment="1">
      <alignment horizontal="left" vertical="center" wrapText="1" readingOrder="1"/>
    </xf>
    <xf numFmtId="43" fontId="25" fillId="0" borderId="8" xfId="1" applyFont="1" applyFill="1" applyBorder="1" applyAlignment="1">
      <alignment horizontal="center" vertical="center" wrapText="1" readingOrder="1"/>
    </xf>
    <xf numFmtId="43" fontId="25" fillId="0" borderId="8" xfId="0" applyNumberFormat="1" applyFont="1" applyBorder="1" applyAlignment="1">
      <alignment horizontal="center" vertical="center" wrapText="1" readingOrder="1"/>
    </xf>
    <xf numFmtId="0" fontId="25" fillId="0" borderId="5" xfId="0" applyFont="1" applyBorder="1" applyAlignment="1">
      <alignment horizontal="center" vertical="center" wrapText="1" readingOrder="1"/>
    </xf>
    <xf numFmtId="0" fontId="27" fillId="0" borderId="1" xfId="0" applyFont="1" applyBorder="1" applyAlignment="1">
      <alignment horizontal="center" vertical="center" wrapText="1" readingOrder="1"/>
    </xf>
    <xf numFmtId="0" fontId="27" fillId="0" borderId="0" xfId="0" applyFont="1" applyAlignment="1">
      <alignment horizontal="center" vertical="center" wrapText="1" readingOrder="1"/>
    </xf>
    <xf numFmtId="0" fontId="28" fillId="0" borderId="0" xfId="0" applyFont="1" applyAlignment="1">
      <alignment horizontal="center" vertical="center" wrapText="1" readingOrder="1"/>
    </xf>
    <xf numFmtId="164" fontId="12" fillId="0" borderId="1" xfId="0" applyNumberFormat="1" applyFont="1" applyBorder="1" applyAlignment="1">
      <alignment horizontal="center" vertical="center" wrapText="1" readingOrder="1"/>
    </xf>
    <xf numFmtId="43" fontId="12" fillId="0" borderId="1" xfId="1" applyFont="1" applyFill="1" applyBorder="1" applyAlignment="1">
      <alignment vertical="center" wrapText="1" readingOrder="1"/>
    </xf>
    <xf numFmtId="0" fontId="12" fillId="0" borderId="4" xfId="0" applyFont="1" applyBorder="1" applyAlignment="1">
      <alignment vertical="center" wrapText="1" readingOrder="1"/>
    </xf>
    <xf numFmtId="21" fontId="12" fillId="0" borderId="6" xfId="0" applyNumberFormat="1" applyFont="1" applyBorder="1" applyAlignment="1">
      <alignment horizontal="center" vertical="center" wrapText="1" readingOrder="1"/>
    </xf>
    <xf numFmtId="46" fontId="12" fillId="0" borderId="6" xfId="0" applyNumberFormat="1" applyFont="1" applyBorder="1" applyAlignment="1">
      <alignment horizontal="center" vertical="center" wrapText="1" readingOrder="1"/>
    </xf>
    <xf numFmtId="46" fontId="4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 wrapText="1" readingOrder="1"/>
    </xf>
    <xf numFmtId="43" fontId="4" fillId="0" borderId="3" xfId="1" applyFont="1" applyFill="1" applyBorder="1" applyAlignment="1">
      <alignment vertical="center"/>
    </xf>
    <xf numFmtId="0" fontId="26" fillId="0" borderId="0" xfId="0" applyFont="1" applyAlignment="1">
      <alignment vertical="center" wrapText="1" readingOrder="1"/>
    </xf>
    <xf numFmtId="0" fontId="18" fillId="4" borderId="1" xfId="0" applyFont="1" applyFill="1" applyBorder="1" applyAlignment="1">
      <alignment horizontal="center" vertical="center" wrapText="1" readingOrder="1"/>
    </xf>
    <xf numFmtId="43" fontId="18" fillId="4" borderId="1" xfId="1" applyFont="1" applyFill="1" applyBorder="1" applyAlignment="1">
      <alignment horizontal="center" vertical="center" wrapText="1" readingOrder="1"/>
    </xf>
    <xf numFmtId="0" fontId="18" fillId="4" borderId="0" xfId="0" applyFont="1" applyFill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/>
    </xf>
    <xf numFmtId="0" fontId="0" fillId="0" borderId="4" xfId="0" applyBorder="1" applyAlignment="1">
      <alignment vertical="center" wrapText="1" readingOrder="1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center" wrapText="1" readingOrder="1"/>
    </xf>
    <xf numFmtId="21" fontId="13" fillId="0" borderId="1" xfId="0" applyNumberFormat="1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 readingOrder="1"/>
    </xf>
    <xf numFmtId="0" fontId="6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21" fontId="18" fillId="4" borderId="1" xfId="0" applyNumberFormat="1" applyFont="1" applyFill="1" applyBorder="1" applyAlignment="1">
      <alignment horizontal="center" vertical="center" wrapText="1" readingOrder="1"/>
    </xf>
    <xf numFmtId="0" fontId="12" fillId="0" borderId="1" xfId="0" applyFont="1" applyBorder="1" applyAlignment="1">
      <alignment vertical="center" wrapText="1" readingOrder="1"/>
    </xf>
    <xf numFmtId="0" fontId="13" fillId="0" borderId="1" xfId="0" applyFont="1" applyBorder="1" applyAlignment="1">
      <alignment horizontal="left" vertical="center" wrapText="1" readingOrder="1"/>
    </xf>
    <xf numFmtId="0" fontId="13" fillId="0" borderId="6" xfId="0" applyFont="1" applyBorder="1" applyAlignment="1">
      <alignment horizontal="center" vertical="center" wrapText="1" readingOrder="1"/>
    </xf>
    <xf numFmtId="21" fontId="14" fillId="0" borderId="1" xfId="0" applyNumberFormat="1" applyFont="1" applyBorder="1" applyAlignment="1">
      <alignment horizontal="center" vertical="center" wrapText="1" readingOrder="1"/>
    </xf>
    <xf numFmtId="0" fontId="29" fillId="0" borderId="4" xfId="0" applyFont="1" applyBorder="1" applyAlignment="1">
      <alignment horizontal="center" vertical="center"/>
    </xf>
    <xf numFmtId="0" fontId="30" fillId="0" borderId="8" xfId="0" applyFont="1" applyBorder="1" applyAlignment="1">
      <alignment vertical="center" wrapText="1"/>
    </xf>
    <xf numFmtId="0" fontId="30" fillId="0" borderId="8" xfId="0" applyFont="1" applyBorder="1" applyAlignment="1">
      <alignment vertical="center"/>
    </xf>
    <xf numFmtId="14" fontId="30" fillId="0" borderId="8" xfId="0" applyNumberFormat="1" applyFont="1" applyBorder="1" applyAlignment="1">
      <alignment vertical="center"/>
    </xf>
    <xf numFmtId="0" fontId="30" fillId="0" borderId="8" xfId="0" applyFont="1" applyBorder="1" applyAlignment="1">
      <alignment horizontal="center" vertical="center" wrapText="1" readingOrder="1"/>
    </xf>
    <xf numFmtId="43" fontId="30" fillId="0" borderId="8" xfId="1" applyFont="1" applyFill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14" fontId="30" fillId="0" borderId="5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43" fontId="1" fillId="0" borderId="1" xfId="1" applyFont="1" applyFill="1" applyBorder="1" applyAlignment="1">
      <alignment horizontal="center" vertical="center" wrapText="1" readingOrder="1"/>
    </xf>
    <xf numFmtId="0" fontId="32" fillId="0" borderId="0" xfId="0" applyFont="1"/>
    <xf numFmtId="46" fontId="18" fillId="4" borderId="1" xfId="0" applyNumberFormat="1" applyFont="1" applyFill="1" applyBorder="1" applyAlignment="1">
      <alignment horizontal="center" vertical="center" wrapText="1" readingOrder="1"/>
    </xf>
    <xf numFmtId="0" fontId="21" fillId="0" borderId="0" xfId="0" applyFont="1"/>
    <xf numFmtId="0" fontId="12" fillId="5" borderId="1" xfId="0" applyFont="1" applyFill="1" applyBorder="1" applyAlignment="1">
      <alignment horizontal="center" vertical="center" wrapText="1" readingOrder="1"/>
    </xf>
    <xf numFmtId="0" fontId="12" fillId="5" borderId="1" xfId="0" applyFont="1" applyFill="1" applyBorder="1" applyAlignment="1">
      <alignment horizontal="center" vertical="center"/>
    </xf>
    <xf numFmtId="21" fontId="12" fillId="5" borderId="1" xfId="0" applyNumberFormat="1" applyFont="1" applyFill="1" applyBorder="1" applyAlignment="1">
      <alignment horizontal="center" vertical="center" wrapText="1" readingOrder="1"/>
    </xf>
    <xf numFmtId="0" fontId="12" fillId="5" borderId="1" xfId="0" applyFont="1" applyFill="1" applyBorder="1" applyAlignment="1">
      <alignment horizontal="left" vertical="center" wrapText="1" readingOrder="1"/>
    </xf>
    <xf numFmtId="43" fontId="12" fillId="5" borderId="1" xfId="1" applyFont="1" applyFill="1" applyBorder="1" applyAlignment="1">
      <alignment vertical="center" wrapText="1" readingOrder="1"/>
    </xf>
    <xf numFmtId="0" fontId="12" fillId="5" borderId="0" xfId="0" applyFont="1" applyFill="1" applyAlignment="1">
      <alignment vertical="center" wrapText="1" readingOrder="1"/>
    </xf>
    <xf numFmtId="0" fontId="12" fillId="5" borderId="6" xfId="0" applyFont="1" applyFill="1" applyBorder="1" applyAlignment="1">
      <alignment horizontal="center" vertical="center" wrapText="1" readingOrder="1"/>
    </xf>
    <xf numFmtId="49" fontId="4" fillId="0" borderId="4" xfId="0" applyNumberFormat="1" applyFont="1" applyBorder="1" applyAlignment="1">
      <alignment horizontal="center" vertical="center"/>
    </xf>
    <xf numFmtId="21" fontId="4" fillId="0" borderId="8" xfId="0" applyNumberFormat="1" applyFont="1" applyBorder="1" applyAlignment="1">
      <alignment horizontal="center" vertical="center"/>
    </xf>
    <xf numFmtId="0" fontId="17" fillId="0" borderId="8" xfId="2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readingOrder="1"/>
    </xf>
    <xf numFmtId="21" fontId="4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43" fontId="13" fillId="0" borderId="1" xfId="1" applyFont="1" applyFill="1" applyBorder="1" applyAlignment="1">
      <alignment horizontal="center" vertical="center" wrapText="1" readingOrder="1"/>
    </xf>
    <xf numFmtId="0" fontId="12" fillId="0" borderId="1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 wrapText="1" readingOrder="1"/>
    </xf>
    <xf numFmtId="21" fontId="4" fillId="0" borderId="1" xfId="0" applyNumberFormat="1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vertical="center"/>
    </xf>
    <xf numFmtId="0" fontId="12" fillId="0" borderId="6" xfId="0" applyFont="1" applyBorder="1" applyAlignment="1">
      <alignment horizontal="left" vertical="center" wrapText="1" readingOrder="1"/>
    </xf>
    <xf numFmtId="43" fontId="4" fillId="0" borderId="6" xfId="1" applyFont="1" applyFill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33" fillId="6" borderId="1" xfId="0" applyFont="1" applyFill="1" applyBorder="1" applyAlignment="1">
      <alignment vertical="top"/>
    </xf>
    <xf numFmtId="0" fontId="33" fillId="6" borderId="1" xfId="0" applyFont="1" applyFill="1" applyBorder="1" applyAlignment="1">
      <alignment horizontal="center" vertical="top"/>
    </xf>
    <xf numFmtId="0" fontId="6" fillId="0" borderId="6" xfId="0" applyFont="1" applyBorder="1" applyAlignment="1">
      <alignment horizontal="center" vertical="center" wrapText="1"/>
    </xf>
    <xf numFmtId="21" fontId="2" fillId="0" borderId="6" xfId="0" applyNumberFormat="1" applyFont="1" applyBorder="1" applyAlignment="1">
      <alignment horizontal="center" vertical="center" wrapText="1"/>
    </xf>
    <xf numFmtId="21" fontId="2" fillId="0" borderId="6" xfId="0" applyNumberFormat="1" applyFont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 wrapText="1" readingOrder="1"/>
    </xf>
    <xf numFmtId="43" fontId="4" fillId="0" borderId="6" xfId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3" fontId="3" fillId="2" borderId="7" xfId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0" fontId="0" fillId="0" borderId="6" xfId="0" applyBorder="1"/>
    <xf numFmtId="0" fontId="0" fillId="0" borderId="3" xfId="0" applyBorder="1"/>
    <xf numFmtId="0" fontId="0" fillId="0" borderId="7" xfId="0" applyBorder="1" applyAlignment="1">
      <alignment wrapText="1"/>
    </xf>
    <xf numFmtId="0" fontId="0" fillId="0" borderId="1" xfId="0" applyBorder="1" applyAlignment="1">
      <alignment wrapText="1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4" fillId="0" borderId="6" xfId="0" applyFont="1" applyBorder="1" applyAlignment="1">
      <alignment horizontal="center" vertical="center"/>
    </xf>
    <xf numFmtId="2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49" fontId="34" fillId="0" borderId="1" xfId="0" applyNumberFormat="1" applyFont="1" applyBorder="1" applyAlignment="1">
      <alignment vertical="top" wrapText="1"/>
    </xf>
    <xf numFmtId="0" fontId="12" fillId="0" borderId="3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vertical="center"/>
    </xf>
    <xf numFmtId="21" fontId="0" fillId="0" borderId="0" xfId="0" applyNumberFormat="1"/>
    <xf numFmtId="0" fontId="35" fillId="0" borderId="0" xfId="0" applyFont="1"/>
    <xf numFmtId="0" fontId="37" fillId="0" borderId="1" xfId="0" applyFont="1" applyBorder="1" applyAlignment="1">
      <alignment horizontal="center" vertical="top"/>
    </xf>
    <xf numFmtId="0" fontId="37" fillId="0" borderId="1" xfId="0" applyFont="1" applyBorder="1" applyAlignment="1">
      <alignment horizontal="center" vertical="top" wrapText="1"/>
    </xf>
    <xf numFmtId="0" fontId="19" fillId="0" borderId="0" xfId="0" applyFont="1"/>
    <xf numFmtId="0" fontId="33" fillId="0" borderId="1" xfId="0" applyFont="1" applyBorder="1" applyAlignment="1">
      <alignment vertical="top"/>
    </xf>
    <xf numFmtId="0" fontId="33" fillId="0" borderId="1" xfId="0" applyFont="1" applyBorder="1" applyAlignment="1">
      <alignment horizontal="center" vertical="top"/>
    </xf>
    <xf numFmtId="46" fontId="13" fillId="0" borderId="1" xfId="0" applyNumberFormat="1" applyFont="1" applyBorder="1" applyAlignment="1">
      <alignment horizontal="center" vertical="center" wrapText="1" readingOrder="1"/>
    </xf>
    <xf numFmtId="0" fontId="33" fillId="0" borderId="6" xfId="0" applyFont="1" applyBorder="1" applyAlignment="1">
      <alignment vertical="top"/>
    </xf>
    <xf numFmtId="21" fontId="13" fillId="0" borderId="6" xfId="0" applyNumberFormat="1" applyFont="1" applyBorder="1" applyAlignment="1">
      <alignment horizontal="center" vertical="center" wrapText="1" readingOrder="1"/>
    </xf>
    <xf numFmtId="0" fontId="33" fillId="0" borderId="6" xfId="0" applyFont="1" applyBorder="1" applyAlignment="1">
      <alignment horizontal="center" vertical="top"/>
    </xf>
    <xf numFmtId="43" fontId="13" fillId="0" borderId="6" xfId="1" applyFont="1" applyFill="1" applyBorder="1" applyAlignment="1">
      <alignment horizontal="center" vertical="center" wrapText="1" readingOrder="1"/>
    </xf>
    <xf numFmtId="0" fontId="13" fillId="0" borderId="14" xfId="0" applyFont="1" applyBorder="1" applyAlignment="1">
      <alignment horizontal="center" vertical="center" wrapText="1" readingOrder="1"/>
    </xf>
    <xf numFmtId="21" fontId="13" fillId="0" borderId="14" xfId="0" applyNumberFormat="1" applyFont="1" applyBorder="1" applyAlignment="1">
      <alignment horizontal="center" vertical="center" wrapText="1" readingOrder="1"/>
    </xf>
    <xf numFmtId="46" fontId="13" fillId="0" borderId="14" xfId="0" applyNumberFormat="1" applyFont="1" applyBorder="1" applyAlignment="1">
      <alignment horizontal="center" vertical="center" wrapText="1" readingOrder="1"/>
    </xf>
    <xf numFmtId="0" fontId="33" fillId="0" borderId="14" xfId="0" applyFont="1" applyBorder="1" applyAlignment="1">
      <alignment vertical="top"/>
    </xf>
    <xf numFmtId="0" fontId="33" fillId="0" borderId="14" xfId="0" applyFont="1" applyBorder="1" applyAlignment="1">
      <alignment horizontal="center" vertical="top"/>
    </xf>
    <xf numFmtId="43" fontId="3" fillId="2" borderId="14" xfId="1" applyFont="1" applyFill="1" applyBorder="1" applyAlignment="1">
      <alignment vertical="center"/>
    </xf>
    <xf numFmtId="43" fontId="3" fillId="2" borderId="14" xfId="1" applyFont="1" applyFill="1" applyBorder="1" applyAlignment="1">
      <alignment horizontal="right" vertical="center"/>
    </xf>
    <xf numFmtId="0" fontId="13" fillId="0" borderId="6" xfId="0" applyFont="1" applyBorder="1" applyAlignment="1">
      <alignment horizontal="left" vertical="center" wrapText="1" readingOrder="1"/>
    </xf>
    <xf numFmtId="0" fontId="13" fillId="0" borderId="14" xfId="0" applyFont="1" applyBorder="1" applyAlignment="1">
      <alignment horizontal="left" vertical="center" wrapText="1" readingOrder="1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 readingOrder="1"/>
    </xf>
    <xf numFmtId="0" fontId="25" fillId="0" borderId="14" xfId="0" applyFont="1" applyBorder="1" applyAlignment="1">
      <alignment horizontal="left" vertical="center" wrapText="1" readingOrder="1"/>
    </xf>
    <xf numFmtId="43" fontId="25" fillId="0" borderId="14" xfId="1" applyFont="1" applyFill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left" vertical="center" readingOrder="1"/>
    </xf>
    <xf numFmtId="43" fontId="29" fillId="4" borderId="1" xfId="1" applyFont="1" applyFill="1" applyBorder="1" applyAlignment="1">
      <alignment vertical="center"/>
    </xf>
    <xf numFmtId="0" fontId="29" fillId="4" borderId="0" xfId="0" applyFont="1" applyFill="1" applyAlignment="1">
      <alignment vertical="center"/>
    </xf>
    <xf numFmtId="0" fontId="36" fillId="0" borderId="1" xfId="0" applyFont="1" applyBorder="1" applyAlignment="1">
      <alignment horizontal="center" vertical="top" wrapText="1"/>
    </xf>
    <xf numFmtId="14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12" fillId="0" borderId="2" xfId="0" applyFont="1" applyBorder="1" applyAlignment="1">
      <alignment horizontal="left" vertical="center" wrapText="1" readingOrder="1"/>
    </xf>
    <xf numFmtId="0" fontId="4" fillId="0" borderId="2" xfId="0" applyFont="1" applyBorder="1" applyAlignment="1">
      <alignment vertical="center"/>
    </xf>
    <xf numFmtId="21" fontId="4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 readingOrder="1"/>
    </xf>
    <xf numFmtId="43" fontId="34" fillId="0" borderId="1" xfId="1" applyFont="1" applyBorder="1" applyAlignment="1">
      <alignment horizontal="right" vertical="center"/>
    </xf>
    <xf numFmtId="43" fontId="45" fillId="0" borderId="1" xfId="1" applyFont="1" applyBorder="1" applyAlignment="1">
      <alignment horizontal="right" vertical="center"/>
    </xf>
    <xf numFmtId="43" fontId="4" fillId="0" borderId="6" xfId="1" applyFont="1" applyBorder="1" applyAlignment="1">
      <alignment vertical="center"/>
    </xf>
    <xf numFmtId="43" fontId="4" fillId="0" borderId="1" xfId="1" applyFont="1" applyBorder="1" applyAlignment="1">
      <alignment vertical="center"/>
    </xf>
    <xf numFmtId="0" fontId="12" fillId="0" borderId="4" xfId="0" applyFont="1" applyBorder="1" applyAlignment="1">
      <alignment horizontal="center" vertical="center" wrapText="1" readingOrder="1"/>
    </xf>
    <xf numFmtId="0" fontId="13" fillId="0" borderId="8" xfId="0" applyFont="1" applyBorder="1" applyAlignment="1">
      <alignment horizontal="center" vertical="center" wrapText="1" readingOrder="1"/>
    </xf>
    <xf numFmtId="0" fontId="0" fillId="0" borderId="8" xfId="0" applyBorder="1" applyAlignment="1">
      <alignment vertical="center"/>
    </xf>
    <xf numFmtId="0" fontId="20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43" fontId="48" fillId="0" borderId="1" xfId="1" applyFont="1" applyBorder="1" applyAlignment="1">
      <alignment horizontal="right" vertical="center"/>
    </xf>
    <xf numFmtId="43" fontId="6" fillId="0" borderId="1" xfId="1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21" fontId="6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9" fillId="0" borderId="1" xfId="0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 wrapText="1" readingOrder="1"/>
    </xf>
    <xf numFmtId="0" fontId="49" fillId="0" borderId="0" xfId="0" applyFont="1" applyAlignment="1">
      <alignment vertical="center"/>
    </xf>
    <xf numFmtId="0" fontId="49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left" vertical="center" wrapText="1" readingOrder="1"/>
    </xf>
    <xf numFmtId="43" fontId="49" fillId="0" borderId="1" xfId="1" applyFont="1" applyFill="1" applyBorder="1" applyAlignment="1">
      <alignment vertical="center"/>
    </xf>
    <xf numFmtId="0" fontId="38" fillId="0" borderId="1" xfId="0" applyFont="1" applyBorder="1" applyAlignment="1">
      <alignment horizontal="center" vertical="top" wrapText="1"/>
    </xf>
    <xf numFmtId="21" fontId="49" fillId="0" borderId="0" xfId="0" applyNumberFormat="1" applyFont="1" applyAlignment="1">
      <alignment horizontal="center" vertical="center" wrapText="1" readingOrder="1"/>
    </xf>
    <xf numFmtId="21" fontId="49" fillId="0" borderId="2" xfId="0" applyNumberFormat="1" applyFont="1" applyBorder="1" applyAlignment="1">
      <alignment horizontal="center" vertical="center" wrapText="1" readingOrder="1"/>
    </xf>
    <xf numFmtId="0" fontId="52" fillId="0" borderId="0" xfId="0" applyFont="1"/>
    <xf numFmtId="0" fontId="54" fillId="0" borderId="1" xfId="0" applyFont="1" applyBorder="1" applyAlignment="1">
      <alignment horizontal="left" vertical="center" wrapText="1" readingOrder="1"/>
    </xf>
    <xf numFmtId="0" fontId="54" fillId="0" borderId="0" xfId="0" applyFont="1" applyAlignment="1">
      <alignment horizontal="left" vertical="center" wrapText="1" readingOrder="1"/>
    </xf>
    <xf numFmtId="0" fontId="53" fillId="0" borderId="1" xfId="0" applyFont="1" applyBorder="1" applyAlignment="1">
      <alignment horizontal="center" vertical="center" wrapText="1" readingOrder="1"/>
    </xf>
    <xf numFmtId="21" fontId="53" fillId="0" borderId="1" xfId="0" applyNumberFormat="1" applyFont="1" applyBorder="1" applyAlignment="1">
      <alignment horizontal="center" vertical="center" wrapText="1" readingOrder="1"/>
    </xf>
    <xf numFmtId="0" fontId="53" fillId="0" borderId="1" xfId="0" applyFont="1" applyBorder="1" applyAlignment="1">
      <alignment horizontal="left" vertical="center" wrapText="1" readingOrder="1"/>
    </xf>
    <xf numFmtId="43" fontId="53" fillId="0" borderId="1" xfId="1" applyFont="1" applyFill="1" applyBorder="1" applyAlignment="1">
      <alignment horizontal="center" vertical="center" wrapText="1" readingOrder="1"/>
    </xf>
    <xf numFmtId="0" fontId="53" fillId="0" borderId="6" xfId="0" applyFont="1" applyBorder="1" applyAlignment="1">
      <alignment horizontal="center" vertical="center" wrapText="1" readingOrder="1"/>
    </xf>
    <xf numFmtId="0" fontId="53" fillId="0" borderId="0" xfId="0" applyFont="1" applyAlignment="1">
      <alignment horizontal="center" vertical="center" wrapText="1" readingOrder="1"/>
    </xf>
    <xf numFmtId="0" fontId="55" fillId="4" borderId="1" xfId="0" applyFont="1" applyFill="1" applyBorder="1" applyAlignment="1">
      <alignment horizontal="center" vertical="center" wrapText="1" readingOrder="1"/>
    </xf>
    <xf numFmtId="21" fontId="55" fillId="4" borderId="1" xfId="0" applyNumberFormat="1" applyFont="1" applyFill="1" applyBorder="1" applyAlignment="1">
      <alignment horizontal="center" vertical="center" wrapText="1" readingOrder="1"/>
    </xf>
    <xf numFmtId="43" fontId="55" fillId="4" borderId="1" xfId="1" applyFont="1" applyFill="1" applyBorder="1" applyAlignment="1">
      <alignment horizontal="center" vertical="center" wrapText="1" readingOrder="1"/>
    </xf>
    <xf numFmtId="0" fontId="55" fillId="4" borderId="6" xfId="0" applyFont="1" applyFill="1" applyBorder="1" applyAlignment="1">
      <alignment horizontal="center" vertical="center" wrapText="1" readingOrder="1"/>
    </xf>
    <xf numFmtId="0" fontId="55" fillId="4" borderId="0" xfId="0" applyFont="1" applyFill="1" applyAlignment="1">
      <alignment horizontal="center" vertical="center" wrapText="1" readingOrder="1"/>
    </xf>
    <xf numFmtId="0" fontId="53" fillId="0" borderId="1" xfId="0" applyFont="1" applyBorder="1" applyAlignment="1">
      <alignment horizontal="left" vertical="center" readingOrder="1"/>
    </xf>
    <xf numFmtId="43" fontId="52" fillId="0" borderId="1" xfId="1" applyFont="1" applyFill="1" applyBorder="1" applyAlignment="1">
      <alignment horizontal="center" vertical="center" wrapText="1" readingOrder="1"/>
    </xf>
    <xf numFmtId="0" fontId="56" fillId="0" borderId="1" xfId="0" applyFont="1" applyBorder="1" applyAlignment="1">
      <alignment horizontal="center" vertical="center" wrapText="1" readingOrder="1"/>
    </xf>
    <xf numFmtId="21" fontId="56" fillId="0" borderId="1" xfId="0" applyNumberFormat="1" applyFont="1" applyBorder="1" applyAlignment="1">
      <alignment horizontal="center" vertical="center" wrapText="1" readingOrder="1"/>
    </xf>
    <xf numFmtId="0" fontId="56" fillId="0" borderId="0" xfId="0" applyFont="1" applyAlignment="1">
      <alignment horizontal="center" vertical="center" wrapText="1" readingOrder="1"/>
    </xf>
    <xf numFmtId="0" fontId="53" fillId="0" borderId="1" xfId="0" applyFont="1" applyBorder="1" applyAlignment="1">
      <alignment horizontal="left" vertical="center" wrapText="1"/>
    </xf>
    <xf numFmtId="0" fontId="53" fillId="0" borderId="1" xfId="0" applyFont="1" applyBorder="1" applyAlignment="1">
      <alignment horizontal="center" vertical="center" wrapText="1"/>
    </xf>
    <xf numFmtId="43" fontId="53" fillId="0" borderId="1" xfId="1" applyFont="1" applyBorder="1" applyAlignment="1">
      <alignment horizontal="center" vertical="center" wrapText="1"/>
    </xf>
    <xf numFmtId="0" fontId="53" fillId="5" borderId="1" xfId="0" applyFont="1" applyFill="1" applyBorder="1" applyAlignment="1">
      <alignment horizontal="left" vertical="center" wrapText="1"/>
    </xf>
    <xf numFmtId="0" fontId="53" fillId="5" borderId="1" xfId="0" applyFont="1" applyFill="1" applyBorder="1" applyAlignment="1">
      <alignment horizontal="center" vertical="center" wrapText="1"/>
    </xf>
    <xf numFmtId="43" fontId="53" fillId="5" borderId="1" xfId="1" applyFont="1" applyFill="1" applyBorder="1" applyAlignment="1">
      <alignment horizontal="center" vertical="center" wrapText="1"/>
    </xf>
    <xf numFmtId="43" fontId="53" fillId="0" borderId="1" xfId="1" applyFont="1" applyFill="1" applyBorder="1" applyAlignment="1">
      <alignment horizontal="center" vertical="center" wrapText="1"/>
    </xf>
    <xf numFmtId="43" fontId="52" fillId="0" borderId="1" xfId="1" applyFont="1" applyFill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 readingOrder="1"/>
    </xf>
    <xf numFmtId="21" fontId="57" fillId="0" borderId="1" xfId="0" applyNumberFormat="1" applyFont="1" applyBorder="1" applyAlignment="1">
      <alignment horizontal="center" vertical="center" wrapText="1" readingOrder="1"/>
    </xf>
    <xf numFmtId="0" fontId="57" fillId="0" borderId="1" xfId="0" applyFont="1" applyBorder="1" applyAlignment="1">
      <alignment horizontal="left" vertical="center" wrapText="1"/>
    </xf>
    <xf numFmtId="0" fontId="57" fillId="0" borderId="1" xfId="0" applyFont="1" applyBorder="1" applyAlignment="1">
      <alignment horizontal="center" vertical="center" wrapText="1"/>
    </xf>
    <xf numFmtId="43" fontId="57" fillId="0" borderId="1" xfId="1" applyFont="1" applyFill="1" applyBorder="1" applyAlignment="1">
      <alignment horizontal="center" vertical="center" wrapText="1"/>
    </xf>
    <xf numFmtId="43" fontId="57" fillId="0" borderId="1" xfId="1" applyFont="1" applyFill="1" applyBorder="1" applyAlignment="1">
      <alignment horizontal="center" vertical="center" wrapText="1" readingOrder="1"/>
    </xf>
    <xf numFmtId="0" fontId="57" fillId="0" borderId="0" xfId="0" applyFont="1" applyAlignment="1">
      <alignment horizontal="center" vertical="center" wrapText="1" readingOrder="1"/>
    </xf>
    <xf numFmtId="0" fontId="55" fillId="4" borderId="1" xfId="0" applyFont="1" applyFill="1" applyBorder="1" applyAlignment="1">
      <alignment horizontal="left" vertical="center" wrapText="1"/>
    </xf>
    <xf numFmtId="0" fontId="55" fillId="4" borderId="1" xfId="0" applyFont="1" applyFill="1" applyBorder="1" applyAlignment="1">
      <alignment horizontal="center" vertical="center" wrapText="1"/>
    </xf>
    <xf numFmtId="43" fontId="55" fillId="4" borderId="1" xfId="1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/>
    </xf>
    <xf numFmtId="0" fontId="59" fillId="0" borderId="7" xfId="0" applyFont="1" applyBorder="1" applyAlignment="1">
      <alignment horizontal="center" vertical="center"/>
    </xf>
    <xf numFmtId="0" fontId="59" fillId="0" borderId="0" xfId="0" applyFont="1" applyAlignment="1">
      <alignment vertical="center"/>
    </xf>
    <xf numFmtId="0" fontId="18" fillId="0" borderId="1" xfId="0" applyFont="1" applyBorder="1" applyAlignment="1">
      <alignment horizontal="center" vertical="center" wrapText="1" readingOrder="1"/>
    </xf>
    <xf numFmtId="43" fontId="18" fillId="0" borderId="1" xfId="1" applyFont="1" applyFill="1" applyBorder="1" applyAlignment="1">
      <alignment horizontal="center" vertical="center" wrapText="1" readingOrder="1"/>
    </xf>
    <xf numFmtId="0" fontId="18" fillId="0" borderId="0" xfId="0" applyFont="1" applyAlignment="1">
      <alignment horizontal="center" vertical="center" wrapText="1" readingOrder="1"/>
    </xf>
    <xf numFmtId="0" fontId="61" fillId="4" borderId="1" xfId="0" applyFont="1" applyFill="1" applyBorder="1" applyAlignment="1">
      <alignment horizontal="center" vertical="center" wrapText="1" readingOrder="1"/>
    </xf>
    <xf numFmtId="0" fontId="51" fillId="0" borderId="1" xfId="0" applyFont="1" applyBorder="1" applyAlignment="1">
      <alignment horizontal="center" vertical="center" wrapText="1" readingOrder="1"/>
    </xf>
    <xf numFmtId="43" fontId="12" fillId="2" borderId="1" xfId="1" applyFont="1" applyFill="1" applyBorder="1" applyAlignment="1">
      <alignment horizontal="center" vertical="center" wrapText="1" readingOrder="1"/>
    </xf>
    <xf numFmtId="46" fontId="4" fillId="0" borderId="6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 wrapText="1" readingOrder="1"/>
    </xf>
    <xf numFmtId="46" fontId="0" fillId="0" borderId="6" xfId="0" applyNumberFormat="1" applyBorder="1" applyAlignment="1">
      <alignment horizontal="center" vertical="center" wrapText="1" readingOrder="1"/>
    </xf>
    <xf numFmtId="21" fontId="0" fillId="0" borderId="6" xfId="0" applyNumberFormat="1" applyBorder="1" applyAlignment="1">
      <alignment horizontal="center" vertical="center" wrapText="1" readingOrder="1"/>
    </xf>
    <xf numFmtId="21" fontId="2" fillId="0" borderId="1" xfId="0" applyNumberFormat="1" applyFont="1" applyBorder="1" applyAlignment="1">
      <alignment horizontal="center" vertical="center" wrapText="1"/>
    </xf>
    <xf numFmtId="43" fontId="1" fillId="0" borderId="1" xfId="1" applyFont="1" applyFill="1" applyBorder="1" applyAlignment="1">
      <alignment vertical="center" wrapText="1" readingOrder="1"/>
    </xf>
    <xf numFmtId="0" fontId="0" fillId="0" borderId="6" xfId="0" applyBorder="1" applyAlignment="1">
      <alignment horizontal="center" vertical="center" wrapText="1" readingOrder="1"/>
    </xf>
    <xf numFmtId="0" fontId="0" fillId="0" borderId="0" xfId="0" applyAlignment="1">
      <alignment vertical="center" wrapText="1" readingOrder="1"/>
    </xf>
    <xf numFmtId="0" fontId="4" fillId="0" borderId="1" xfId="0" applyFont="1" applyBorder="1" applyAlignment="1">
      <alignment vertical="center" wrapText="1"/>
    </xf>
    <xf numFmtId="0" fontId="46" fillId="8" borderId="1" xfId="0" applyFont="1" applyFill="1" applyBorder="1" applyAlignment="1">
      <alignment horizontal="center" vertical="center"/>
    </xf>
    <xf numFmtId="0" fontId="46" fillId="8" borderId="1" xfId="0" applyFont="1" applyFill="1" applyBorder="1" applyAlignment="1">
      <alignment vertical="center"/>
    </xf>
    <xf numFmtId="0" fontId="21" fillId="8" borderId="1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center" vertical="center" wrapText="1"/>
    </xf>
    <xf numFmtId="43" fontId="47" fillId="8" borderId="1" xfId="1" applyFont="1" applyFill="1" applyBorder="1" applyAlignment="1">
      <alignment horizontal="right" vertical="center"/>
    </xf>
    <xf numFmtId="43" fontId="46" fillId="8" borderId="1" xfId="1" applyFont="1" applyFill="1" applyBorder="1" applyAlignment="1">
      <alignment vertical="center"/>
    </xf>
    <xf numFmtId="0" fontId="46" fillId="8" borderId="1" xfId="0" applyFont="1" applyFill="1" applyBorder="1" applyAlignment="1">
      <alignment horizontal="center" vertical="center" wrapText="1"/>
    </xf>
    <xf numFmtId="21" fontId="46" fillId="8" borderId="1" xfId="0" applyNumberFormat="1" applyFont="1" applyFill="1" applyBorder="1" applyAlignment="1">
      <alignment horizontal="center" vertical="center" wrapText="1"/>
    </xf>
    <xf numFmtId="0" fontId="46" fillId="8" borderId="0" xfId="0" applyFont="1" applyFill="1" applyAlignment="1">
      <alignment vertical="center"/>
    </xf>
    <xf numFmtId="0" fontId="18" fillId="4" borderId="6" xfId="0" applyFont="1" applyFill="1" applyBorder="1" applyAlignment="1">
      <alignment horizontal="center" vertical="center" wrapText="1" readingOrder="1"/>
    </xf>
    <xf numFmtId="0" fontId="33" fillId="6" borderId="6" xfId="0" applyFont="1" applyFill="1" applyBorder="1" applyAlignment="1">
      <alignment vertical="top"/>
    </xf>
    <xf numFmtId="0" fontId="33" fillId="6" borderId="6" xfId="0" applyFont="1" applyFill="1" applyBorder="1" applyAlignment="1">
      <alignment horizontal="center" vertical="top"/>
    </xf>
    <xf numFmtId="43" fontId="18" fillId="2" borderId="1" xfId="1" applyFont="1" applyFill="1" applyBorder="1" applyAlignment="1">
      <alignment horizontal="center" vertical="center" wrapText="1" readingOrder="1"/>
    </xf>
    <xf numFmtId="43" fontId="12" fillId="0" borderId="5" xfId="1" applyFont="1" applyFill="1" applyBorder="1" applyAlignment="1">
      <alignment horizontal="center" vertical="center" wrapText="1" readingOrder="1"/>
    </xf>
    <xf numFmtId="0" fontId="29" fillId="0" borderId="1" xfId="0" applyFont="1" applyBorder="1" applyAlignment="1">
      <alignment horizontal="center" vertical="center" wrapText="1" readingOrder="1"/>
    </xf>
    <xf numFmtId="43" fontId="29" fillId="0" borderId="1" xfId="1" applyFont="1" applyFill="1" applyBorder="1" applyAlignment="1">
      <alignment vertical="center"/>
    </xf>
    <xf numFmtId="21" fontId="29" fillId="0" borderId="1" xfId="0" applyNumberFormat="1" applyFont="1" applyBorder="1" applyAlignment="1">
      <alignment horizontal="center" vertical="center" wrapText="1" readingOrder="1"/>
    </xf>
    <xf numFmtId="164" fontId="29" fillId="0" borderId="1" xfId="0" applyNumberFormat="1" applyFont="1" applyBorder="1" applyAlignment="1">
      <alignment horizontal="center" vertical="center" wrapText="1" readingOrder="1"/>
    </xf>
    <xf numFmtId="0" fontId="29" fillId="0" borderId="1" xfId="0" applyFont="1" applyBorder="1" applyAlignment="1">
      <alignment horizontal="left" vertical="center" wrapText="1" readingOrder="1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9" fillId="0" borderId="1" xfId="0" applyFont="1" applyBorder="1" applyAlignment="1">
      <alignment horizontal="left" vertical="center" wrapText="1"/>
    </xf>
    <xf numFmtId="0" fontId="13" fillId="0" borderId="0" xfId="0" applyFont="1"/>
    <xf numFmtId="0" fontId="29" fillId="0" borderId="0" xfId="0" applyFont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0" fontId="63" fillId="0" borderId="6" xfId="0" applyFont="1" applyBorder="1" applyAlignment="1">
      <alignment horizontal="center" vertical="center"/>
    </xf>
    <xf numFmtId="0" fontId="62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3" fontId="29" fillId="0" borderId="1" xfId="1" applyFont="1" applyBorder="1" applyAlignment="1">
      <alignment horizontal="center" vertical="center" wrapText="1" readingOrder="1"/>
    </xf>
    <xf numFmtId="43" fontId="29" fillId="0" borderId="1" xfId="1" applyFont="1" applyBorder="1" applyAlignment="1">
      <alignment horizontal="center" vertical="center" wrapText="1"/>
    </xf>
    <xf numFmtId="49" fontId="62" fillId="0" borderId="1" xfId="0" applyNumberFormat="1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 wrapText="1"/>
    </xf>
    <xf numFmtId="21" fontId="63" fillId="0" borderId="15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21" fontId="63" fillId="0" borderId="17" xfId="0" applyNumberFormat="1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21" fontId="4" fillId="0" borderId="0" xfId="0" applyNumberFormat="1" applyFont="1" applyAlignment="1">
      <alignment horizontal="center" vertical="center" wrapText="1" readingOrder="1"/>
    </xf>
    <xf numFmtId="21" fontId="4" fillId="0" borderId="2" xfId="0" applyNumberFormat="1" applyFont="1" applyBorder="1" applyAlignment="1">
      <alignment horizontal="center" vertical="center" wrapText="1" readingOrder="1"/>
    </xf>
    <xf numFmtId="21" fontId="18" fillId="0" borderId="1" xfId="0" applyNumberFormat="1" applyFont="1" applyBorder="1" applyAlignment="1">
      <alignment horizontal="center" vertical="center" wrapText="1" readingOrder="1"/>
    </xf>
    <xf numFmtId="46" fontId="18" fillId="0" borderId="1" xfId="0" applyNumberFormat="1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49" fontId="64" fillId="0" borderId="1" xfId="0" applyNumberFormat="1" applyFont="1" applyBorder="1" applyAlignment="1">
      <alignment vertical="top" wrapText="1"/>
    </xf>
    <xf numFmtId="0" fontId="29" fillId="0" borderId="3" xfId="0" applyFont="1" applyBorder="1" applyAlignment="1">
      <alignment horizontal="center" vertical="center"/>
    </xf>
    <xf numFmtId="21" fontId="29" fillId="0" borderId="3" xfId="0" applyNumberFormat="1" applyFont="1" applyBorder="1" applyAlignment="1">
      <alignment horizontal="center" vertical="center"/>
    </xf>
    <xf numFmtId="43" fontId="64" fillId="0" borderId="1" xfId="1" applyFont="1" applyBorder="1" applyAlignment="1">
      <alignment horizontal="right" vertical="center"/>
    </xf>
    <xf numFmtId="0" fontId="29" fillId="0" borderId="1" xfId="0" applyFont="1" applyBorder="1" applyAlignment="1">
      <alignment horizontal="center" vertical="center" wrapText="1"/>
    </xf>
    <xf numFmtId="21" fontId="29" fillId="0" borderId="1" xfId="0" applyNumberFormat="1" applyFont="1" applyBorder="1" applyAlignment="1">
      <alignment horizontal="center" vertical="center" wrapText="1"/>
    </xf>
    <xf numFmtId="21" fontId="29" fillId="0" borderId="1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 readingOrder="1"/>
    </xf>
    <xf numFmtId="21" fontId="52" fillId="0" borderId="1" xfId="0" applyNumberFormat="1" applyFont="1" applyBorder="1" applyAlignment="1">
      <alignment horizontal="center" vertical="center" wrapText="1" readingOrder="1"/>
    </xf>
    <xf numFmtId="0" fontId="52" fillId="0" borderId="1" xfId="0" applyFont="1" applyBorder="1" applyAlignment="1">
      <alignment horizontal="left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 wrapText="1" readingOrder="1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5" fillId="0" borderId="14" xfId="0" applyFont="1" applyBorder="1" applyAlignment="1">
      <alignment horizontal="center" vertical="center"/>
    </xf>
    <xf numFmtId="0" fontId="66" fillId="0" borderId="8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3" fontId="5" fillId="0" borderId="6" xfId="1" applyFont="1" applyFill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0" fontId="70" fillId="8" borderId="1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1"/>
    </xf>
    <xf numFmtId="0" fontId="71" fillId="0" borderId="0" xfId="0" applyFont="1" applyAlignment="1">
      <alignment horizontal="center" vertical="center" wrapText="1" readingOrder="1"/>
    </xf>
    <xf numFmtId="0" fontId="71" fillId="0" borderId="2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51" fillId="0" borderId="6" xfId="0" applyFont="1" applyBorder="1" applyAlignment="1">
      <alignment horizontal="center" vertical="center" wrapText="1" readingOrder="1"/>
    </xf>
    <xf numFmtId="0" fontId="68" fillId="0" borderId="6" xfId="0" applyFont="1" applyBorder="1" applyAlignment="1">
      <alignment horizontal="center" vertical="center"/>
    </xf>
    <xf numFmtId="0" fontId="51" fillId="0" borderId="14" xfId="0" applyFont="1" applyBorder="1" applyAlignment="1">
      <alignment horizontal="center" vertical="center" wrapText="1" readingOrder="1"/>
    </xf>
    <xf numFmtId="46" fontId="29" fillId="0" borderId="1" xfId="0" applyNumberFormat="1" applyFont="1" applyBorder="1" applyAlignment="1">
      <alignment horizontal="center" vertical="center"/>
    </xf>
    <xf numFmtId="46" fontId="18" fillId="0" borderId="6" xfId="0" applyNumberFormat="1" applyFont="1" applyBorder="1" applyAlignment="1">
      <alignment horizontal="center" vertical="center" wrapText="1" readingOrder="1"/>
    </xf>
    <xf numFmtId="0" fontId="18" fillId="0" borderId="6" xfId="0" applyFont="1" applyBorder="1" applyAlignment="1">
      <alignment horizontal="center" vertical="center" wrapText="1" readingOrder="1"/>
    </xf>
    <xf numFmtId="22" fontId="4" fillId="0" borderId="1" xfId="0" applyNumberFormat="1" applyFont="1" applyBorder="1" applyAlignment="1">
      <alignment horizontal="center" vertical="center" wrapText="1"/>
    </xf>
    <xf numFmtId="43" fontId="3" fillId="2" borderId="1" xfId="1" applyFont="1" applyFill="1" applyBorder="1" applyAlignment="1">
      <alignment vertical="center"/>
    </xf>
    <xf numFmtId="43" fontId="3" fillId="2" borderId="1" xfId="1" applyFont="1" applyFill="1" applyBorder="1" applyAlignment="1">
      <alignment horizontal="right" vertical="center"/>
    </xf>
    <xf numFmtId="0" fontId="53" fillId="2" borderId="1" xfId="0" applyFont="1" applyFill="1" applyBorder="1" applyAlignment="1">
      <alignment horizontal="center" vertical="center" wrapText="1" readingOrder="1"/>
    </xf>
    <xf numFmtId="43" fontId="53" fillId="2" borderId="1" xfId="1" applyFont="1" applyFill="1" applyBorder="1" applyAlignment="1">
      <alignment horizontal="center" vertical="center" wrapText="1" readingOrder="1"/>
    </xf>
    <xf numFmtId="0" fontId="53" fillId="2" borderId="1" xfId="0" applyFont="1" applyFill="1" applyBorder="1" applyAlignment="1">
      <alignment horizontal="left" vertical="center" wrapText="1" readingOrder="1"/>
    </xf>
    <xf numFmtId="0" fontId="56" fillId="2" borderId="1" xfId="0" applyFont="1" applyFill="1" applyBorder="1" applyAlignment="1">
      <alignment horizontal="left" vertical="center" wrapText="1" readingOrder="1"/>
    </xf>
    <xf numFmtId="0" fontId="56" fillId="2" borderId="1" xfId="0" applyFont="1" applyFill="1" applyBorder="1" applyAlignment="1">
      <alignment horizontal="center" vertical="center" wrapText="1" readingOrder="1"/>
    </xf>
    <xf numFmtId="43" fontId="56" fillId="2" borderId="1" xfId="1" applyFont="1" applyFill="1" applyBorder="1" applyAlignment="1">
      <alignment horizontal="center" vertical="center" wrapText="1" readingOrder="1"/>
    </xf>
    <xf numFmtId="0" fontId="53" fillId="2" borderId="1" xfId="0" applyFont="1" applyFill="1" applyBorder="1" applyAlignment="1">
      <alignment horizontal="left" vertical="center" wrapText="1"/>
    </xf>
    <xf numFmtId="0" fontId="53" fillId="2" borderId="1" xfId="0" applyFont="1" applyFill="1" applyBorder="1" applyAlignment="1">
      <alignment horizontal="center" vertical="center" wrapText="1"/>
    </xf>
    <xf numFmtId="43" fontId="53" fillId="2" borderId="1" xfId="1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left" vertical="center" wrapText="1"/>
    </xf>
    <xf numFmtId="0" fontId="52" fillId="2" borderId="1" xfId="0" applyFont="1" applyFill="1" applyBorder="1" applyAlignment="1">
      <alignment horizontal="center" vertical="center" wrapText="1"/>
    </xf>
    <xf numFmtId="43" fontId="52" fillId="2" borderId="1" xfId="1" applyFont="1" applyFill="1" applyBorder="1" applyAlignment="1">
      <alignment horizontal="center" vertical="center" wrapText="1"/>
    </xf>
    <xf numFmtId="43" fontId="52" fillId="2" borderId="1" xfId="1" applyFont="1" applyFill="1" applyBorder="1" applyAlignment="1">
      <alignment horizontal="center" vertical="center" wrapText="1" readingOrder="1"/>
    </xf>
    <xf numFmtId="0" fontId="52" fillId="2" borderId="1" xfId="0" applyFont="1" applyFill="1" applyBorder="1" applyAlignment="1">
      <alignment horizontal="center" vertical="center" wrapText="1" readingOrder="1"/>
    </xf>
    <xf numFmtId="0" fontId="18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 readingOrder="1"/>
    </xf>
    <xf numFmtId="46" fontId="4" fillId="0" borderId="1" xfId="0" applyNumberFormat="1" applyFont="1" applyBorder="1" applyAlignment="1">
      <alignment vertical="center" wrapText="1" readingOrder="1"/>
    </xf>
    <xf numFmtId="49" fontId="45" fillId="0" borderId="1" xfId="0" applyNumberFormat="1" applyFont="1" applyBorder="1" applyAlignment="1">
      <alignment vertical="top" wrapText="1"/>
    </xf>
    <xf numFmtId="43" fontId="45" fillId="0" borderId="1" xfId="1" applyFont="1" applyFill="1" applyBorder="1" applyAlignment="1">
      <alignment horizontal="right" vertical="center"/>
    </xf>
    <xf numFmtId="0" fontId="13" fillId="0" borderId="1" xfId="0" applyFont="1" applyBorder="1" applyAlignment="1">
      <alignment vertical="center" readingOrder="1"/>
    </xf>
    <xf numFmtId="0" fontId="33" fillId="6" borderId="1" xfId="0" applyFont="1" applyFill="1" applyBorder="1" applyAlignment="1">
      <alignment horizontal="center" vertical="center" readingOrder="1"/>
    </xf>
    <xf numFmtId="0" fontId="50" fillId="0" borderId="1" xfId="2" applyFont="1" applyFill="1" applyBorder="1" applyAlignment="1">
      <alignment horizontal="center" vertical="center" wrapText="1" readingOrder="1"/>
    </xf>
    <xf numFmtId="0" fontId="4" fillId="0" borderId="6" xfId="0" applyFont="1" applyBorder="1" applyAlignment="1">
      <alignment vertical="center" wrapText="1" readingOrder="1"/>
    </xf>
    <xf numFmtId="0" fontId="39" fillId="0" borderId="1" xfId="0" applyFont="1" applyBorder="1" applyAlignment="1">
      <alignment horizontal="center" vertical="top" wrapText="1"/>
    </xf>
    <xf numFmtId="21" fontId="38" fillId="0" borderId="1" xfId="0" applyNumberFormat="1" applyFont="1" applyBorder="1" applyAlignment="1">
      <alignment horizontal="center" vertical="top" wrapText="1"/>
    </xf>
    <xf numFmtId="21" fontId="36" fillId="0" borderId="1" xfId="0" applyNumberFormat="1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37" fillId="0" borderId="19" xfId="0" applyFont="1" applyBorder="1" applyAlignment="1">
      <alignment horizontal="center" vertical="top" wrapText="1"/>
    </xf>
    <xf numFmtId="0" fontId="37" fillId="0" borderId="17" xfId="0" applyFont="1" applyBorder="1" applyAlignment="1">
      <alignment horizontal="center" vertical="top" wrapText="1"/>
    </xf>
    <xf numFmtId="0" fontId="37" fillId="0" borderId="20" xfId="0" applyFont="1" applyBorder="1" applyAlignment="1">
      <alignment horizontal="center" vertical="top" wrapText="1"/>
    </xf>
    <xf numFmtId="0" fontId="38" fillId="0" borderId="22" xfId="0" applyFont="1" applyBorder="1" applyAlignment="1">
      <alignment horizontal="center" vertical="top" wrapText="1"/>
    </xf>
    <xf numFmtId="0" fontId="38" fillId="0" borderId="23" xfId="0" applyFont="1" applyBorder="1" applyAlignment="1">
      <alignment horizontal="center" vertical="top" wrapText="1"/>
    </xf>
    <xf numFmtId="0" fontId="36" fillId="0" borderId="23" xfId="0" applyFont="1" applyBorder="1" applyAlignment="1">
      <alignment horizontal="center" vertical="top" wrapText="1"/>
    </xf>
    <xf numFmtId="0" fontId="36" fillId="0" borderId="24" xfId="0" applyFont="1" applyBorder="1" applyAlignment="1">
      <alignment horizontal="center" vertical="top" wrapText="1"/>
    </xf>
    <xf numFmtId="0" fontId="11" fillId="0" borderId="24" xfId="0" applyFont="1" applyBorder="1" applyAlignment="1">
      <alignment horizontal="center" vertical="top" wrapText="1"/>
    </xf>
    <xf numFmtId="0" fontId="36" fillId="0" borderId="25" xfId="0" applyFont="1" applyBorder="1" applyAlignment="1">
      <alignment horizontal="center" vertical="top" wrapText="1"/>
    </xf>
    <xf numFmtId="0" fontId="38" fillId="0" borderId="1" xfId="0" applyFont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/>
    </xf>
    <xf numFmtId="0" fontId="36" fillId="0" borderId="24" xfId="0" applyFont="1" applyBorder="1" applyAlignment="1">
      <alignment horizontal="left" vertical="top" wrapText="1"/>
    </xf>
    <xf numFmtId="0" fontId="0" fillId="0" borderId="26" xfId="0" applyBorder="1" applyAlignment="1">
      <alignment wrapText="1"/>
    </xf>
    <xf numFmtId="0" fontId="0" fillId="0" borderId="27" xfId="0" applyBorder="1"/>
    <xf numFmtId="0" fontId="0" fillId="0" borderId="28" xfId="0" applyBorder="1"/>
    <xf numFmtId="49" fontId="38" fillId="0" borderId="21" xfId="0" applyNumberFormat="1" applyFont="1" applyBorder="1" applyAlignment="1">
      <alignment horizontal="center" vertical="top" wrapText="1"/>
    </xf>
    <xf numFmtId="43" fontId="19" fillId="0" borderId="0" xfId="1" applyFont="1"/>
    <xf numFmtId="43" fontId="0" fillId="0" borderId="26" xfId="1" applyFont="1" applyBorder="1" applyAlignment="1">
      <alignment wrapText="1"/>
    </xf>
    <xf numFmtId="43" fontId="21" fillId="0" borderId="0" xfId="1" applyFont="1"/>
    <xf numFmtId="43" fontId="0" fillId="0" borderId="0" xfId="1" applyFont="1"/>
    <xf numFmtId="43" fontId="33" fillId="0" borderId="1" xfId="1" applyFont="1" applyBorder="1" applyAlignment="1">
      <alignment vertical="top"/>
    </xf>
    <xf numFmtId="43" fontId="33" fillId="6" borderId="6" xfId="1" applyFont="1" applyFill="1" applyBorder="1" applyAlignment="1">
      <alignment vertical="top"/>
    </xf>
    <xf numFmtId="43" fontId="0" fillId="0" borderId="0" xfId="1" applyFont="1" applyAlignment="1">
      <alignment horizontal="center"/>
    </xf>
    <xf numFmtId="43" fontId="12" fillId="0" borderId="0" xfId="1" applyFont="1" applyAlignment="1">
      <alignment vertical="center"/>
    </xf>
    <xf numFmtId="43" fontId="12" fillId="0" borderId="0" xfId="1" applyFont="1" applyAlignment="1">
      <alignment horizontal="center" vertical="center"/>
    </xf>
    <xf numFmtId="43" fontId="19" fillId="0" borderId="0" xfId="0" applyNumberFormat="1" applyFont="1"/>
    <xf numFmtId="21" fontId="4" fillId="0" borderId="3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 wrapText="1" readingOrder="1"/>
    </xf>
    <xf numFmtId="0" fontId="55" fillId="0" borderId="1" xfId="0" applyFont="1" applyBorder="1" applyAlignment="1">
      <alignment horizontal="center" vertical="center" wrapText="1" readingOrder="1"/>
    </xf>
    <xf numFmtId="21" fontId="55" fillId="0" borderId="1" xfId="0" applyNumberFormat="1" applyFont="1" applyBorder="1" applyAlignment="1">
      <alignment horizontal="center" vertical="center" wrapText="1" readingOrder="1"/>
    </xf>
    <xf numFmtId="0" fontId="55" fillId="0" borderId="1" xfId="0" applyFont="1" applyBorder="1" applyAlignment="1">
      <alignment horizontal="left" vertical="center" wrapText="1"/>
    </xf>
    <xf numFmtId="0" fontId="55" fillId="0" borderId="1" xfId="0" applyFont="1" applyBorder="1" applyAlignment="1">
      <alignment horizontal="center" vertical="center" wrapText="1"/>
    </xf>
    <xf numFmtId="43" fontId="55" fillId="0" borderId="1" xfId="1" applyFont="1" applyFill="1" applyBorder="1" applyAlignment="1">
      <alignment horizontal="center" vertical="center" wrapText="1" readingOrder="1"/>
    </xf>
    <xf numFmtId="0" fontId="55" fillId="0" borderId="0" xfId="0" applyFont="1" applyAlignment="1">
      <alignment horizontal="center" vertical="center" wrapText="1" readingOrder="1"/>
    </xf>
    <xf numFmtId="43" fontId="20" fillId="2" borderId="3" xfId="1" applyFont="1" applyFill="1" applyBorder="1" applyAlignment="1" applyProtection="1">
      <alignment horizontal="center" vertical="center" wrapText="1" readingOrder="1"/>
      <protection locked="0"/>
    </xf>
    <xf numFmtId="43" fontId="20" fillId="2" borderId="3" xfId="1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left" vertical="center" readingOrder="1"/>
    </xf>
    <xf numFmtId="43" fontId="19" fillId="2" borderId="1" xfId="1" applyFont="1" applyFill="1" applyBorder="1" applyAlignment="1">
      <alignment horizontal="center" vertical="center" wrapText="1" readingOrder="1"/>
    </xf>
    <xf numFmtId="21" fontId="53" fillId="2" borderId="1" xfId="0" applyNumberFormat="1" applyFont="1" applyFill="1" applyBorder="1" applyAlignment="1">
      <alignment horizontal="center" vertical="center" wrapText="1" readingOrder="1"/>
    </xf>
    <xf numFmtId="21" fontId="4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21" fontId="4" fillId="0" borderId="7" xfId="0" applyNumberFormat="1" applyFont="1" applyBorder="1" applyAlignment="1">
      <alignment vertical="center"/>
    </xf>
    <xf numFmtId="0" fontId="67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43" fontId="64" fillId="4" borderId="1" xfId="1" applyFont="1" applyFill="1" applyBorder="1" applyAlignment="1">
      <alignment horizontal="right" vertical="center"/>
    </xf>
    <xf numFmtId="0" fontId="29" fillId="4" borderId="1" xfId="0" applyFont="1" applyFill="1" applyBorder="1" applyAlignment="1">
      <alignment horizontal="center" vertical="center" wrapText="1"/>
    </xf>
    <xf numFmtId="21" fontId="29" fillId="4" borderId="1" xfId="0" applyNumberFormat="1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21" fontId="2" fillId="0" borderId="12" xfId="0" applyNumberFormat="1" applyFont="1" applyBorder="1" applyAlignment="1">
      <alignment horizontal="center" vertical="center"/>
    </xf>
    <xf numFmtId="46" fontId="13" fillId="0" borderId="8" xfId="0" applyNumberFormat="1" applyFont="1" applyBorder="1" applyAlignment="1">
      <alignment horizontal="center" vertical="center" wrapText="1" readingOrder="1"/>
    </xf>
    <xf numFmtId="0" fontId="33" fillId="0" borderId="8" xfId="0" applyFont="1" applyBorder="1" applyAlignment="1">
      <alignment vertical="top"/>
    </xf>
    <xf numFmtId="49" fontId="5" fillId="0" borderId="1" xfId="0" applyNumberFormat="1" applyFont="1" applyBorder="1" applyAlignment="1">
      <alignment horizontal="center" vertical="center" wrapText="1"/>
    </xf>
    <xf numFmtId="0" fontId="18" fillId="0" borderId="6" xfId="0" applyFont="1" applyBorder="1" applyAlignment="1">
      <alignment horizontal="left" vertical="center" wrapText="1" readingOrder="1"/>
    </xf>
    <xf numFmtId="21" fontId="18" fillId="0" borderId="6" xfId="0" applyNumberFormat="1" applyFont="1" applyBorder="1" applyAlignment="1">
      <alignment horizontal="center" vertical="center" wrapText="1" readingOrder="1"/>
    </xf>
    <xf numFmtId="0" fontId="40" fillId="0" borderId="6" xfId="0" applyFont="1" applyBorder="1" applyAlignment="1">
      <alignment horizontal="center" vertical="top"/>
    </xf>
    <xf numFmtId="43" fontId="18" fillId="0" borderId="6" xfId="1" applyFont="1" applyFill="1" applyBorder="1" applyAlignment="1">
      <alignment horizontal="center" vertical="center" wrapText="1" readingOrder="1"/>
    </xf>
    <xf numFmtId="0" fontId="72" fillId="0" borderId="6" xfId="0" applyFont="1" applyBorder="1" applyAlignment="1">
      <alignment horizontal="center" vertical="center" wrapText="1" readingOrder="1"/>
    </xf>
    <xf numFmtId="43" fontId="55" fillId="0" borderId="1" xfId="1" applyFont="1" applyFill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/>
    </xf>
    <xf numFmtId="46" fontId="74" fillId="0" borderId="6" xfId="0" applyNumberFormat="1" applyFont="1" applyBorder="1" applyAlignment="1">
      <alignment horizontal="center" vertical="center" wrapText="1" readingOrder="1"/>
    </xf>
    <xf numFmtId="21" fontId="73" fillId="0" borderId="1" xfId="0" applyNumberFormat="1" applyFont="1" applyBorder="1" applyAlignment="1">
      <alignment horizontal="center" vertical="center"/>
    </xf>
    <xf numFmtId="0" fontId="73" fillId="0" borderId="0" xfId="0" applyFont="1" applyAlignment="1">
      <alignment vertical="center"/>
    </xf>
    <xf numFmtId="0" fontId="75" fillId="0" borderId="1" xfId="1" applyNumberFormat="1" applyFont="1" applyFill="1" applyBorder="1" applyAlignment="1">
      <alignment horizontal="left" vertical="center" wrapText="1"/>
    </xf>
    <xf numFmtId="0" fontId="75" fillId="0" borderId="1" xfId="0" applyFont="1" applyBorder="1" applyAlignment="1">
      <alignment horizontal="center" vertical="center"/>
    </xf>
    <xf numFmtId="0" fontId="75" fillId="0" borderId="1" xfId="1" applyNumberFormat="1" applyFont="1" applyFill="1" applyBorder="1" applyAlignment="1">
      <alignment horizontal="left" vertical="center"/>
    </xf>
    <xf numFmtId="43" fontId="5" fillId="0" borderId="1" xfId="1" applyFont="1" applyFill="1" applyBorder="1" applyAlignment="1">
      <alignment horizontal="center" vertical="center"/>
    </xf>
    <xf numFmtId="43" fontId="34" fillId="0" borderId="1" xfId="1" applyFont="1" applyFill="1" applyBorder="1" applyAlignment="1">
      <alignment horizontal="right" vertical="center"/>
    </xf>
    <xf numFmtId="43" fontId="76" fillId="0" borderId="1" xfId="1" applyFont="1" applyFill="1" applyBorder="1" applyAlignment="1">
      <alignment horizontal="right" vertical="center"/>
    </xf>
    <xf numFmtId="43" fontId="8" fillId="0" borderId="1" xfId="1" applyFont="1" applyFill="1" applyBorder="1" applyAlignment="1">
      <alignment vertical="center"/>
    </xf>
    <xf numFmtId="46" fontId="12" fillId="0" borderId="1" xfId="0" applyNumberFormat="1" applyFont="1" applyBorder="1" applyAlignment="1">
      <alignment vertical="center" wrapText="1" readingOrder="1"/>
    </xf>
    <xf numFmtId="21" fontId="4" fillId="0" borderId="1" xfId="0" applyNumberFormat="1" applyFont="1" applyBorder="1" applyAlignment="1">
      <alignment vertical="center"/>
    </xf>
    <xf numFmtId="0" fontId="18" fillId="4" borderId="1" xfId="0" applyFont="1" applyFill="1" applyBorder="1" applyAlignment="1">
      <alignment horizontal="left" vertical="center" readingOrder="1"/>
    </xf>
    <xf numFmtId="0" fontId="18" fillId="0" borderId="0" xfId="0" applyFont="1"/>
    <xf numFmtId="43" fontId="18" fillId="0" borderId="0" xfId="1" applyFont="1"/>
    <xf numFmtId="43" fontId="17" fillId="0" borderId="26" xfId="1" applyFont="1" applyBorder="1" applyAlignment="1">
      <alignment wrapText="1"/>
    </xf>
    <xf numFmtId="0" fontId="17" fillId="0" borderId="26" xfId="0" applyFont="1" applyBorder="1" applyAlignment="1">
      <alignment wrapText="1"/>
    </xf>
    <xf numFmtId="43" fontId="40" fillId="0" borderId="1" xfId="1" applyFont="1" applyBorder="1" applyAlignment="1">
      <alignment vertical="top"/>
    </xf>
    <xf numFmtId="43" fontId="40" fillId="6" borderId="6" xfId="1" applyFont="1" applyFill="1" applyBorder="1" applyAlignment="1">
      <alignment vertical="top"/>
    </xf>
    <xf numFmtId="21" fontId="39" fillId="0" borderId="15" xfId="0" applyNumberFormat="1" applyFont="1" applyBorder="1" applyAlignment="1">
      <alignment horizontal="center" vertical="top" wrapText="1"/>
    </xf>
    <xf numFmtId="0" fontId="39" fillId="0" borderId="6" xfId="0" applyFont="1" applyBorder="1" applyAlignment="1">
      <alignment horizontal="center" vertical="top" wrapText="1"/>
    </xf>
    <xf numFmtId="21" fontId="39" fillId="0" borderId="1" xfId="0" applyNumberFormat="1" applyFont="1" applyBorder="1" applyAlignment="1">
      <alignment horizontal="center" vertical="top" wrapText="1"/>
    </xf>
    <xf numFmtId="49" fontId="77" fillId="0" borderId="21" xfId="0" applyNumberFormat="1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center"/>
    </xf>
    <xf numFmtId="21" fontId="6" fillId="0" borderId="1" xfId="0" applyNumberFormat="1" applyFont="1" applyBorder="1" applyAlignment="1">
      <alignment horizontal="center" vertical="center" wrapText="1" readingOrder="1"/>
    </xf>
    <xf numFmtId="0" fontId="2" fillId="0" borderId="1" xfId="0" applyFont="1" applyBorder="1"/>
    <xf numFmtId="0" fontId="2" fillId="0" borderId="0" xfId="0" applyFont="1"/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vertical="top"/>
    </xf>
    <xf numFmtId="21" fontId="8" fillId="0" borderId="1" xfId="0" applyNumberFormat="1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top"/>
    </xf>
    <xf numFmtId="0" fontId="78" fillId="0" borderId="6" xfId="0" applyFont="1" applyBorder="1" applyAlignment="1">
      <alignment vertical="top"/>
    </xf>
    <xf numFmtId="0" fontId="78" fillId="0" borderId="6" xfId="0" applyFont="1" applyBorder="1" applyAlignment="1">
      <alignment horizontal="center" vertical="top"/>
    </xf>
    <xf numFmtId="0" fontId="50" fillId="0" borderId="6" xfId="0" applyFont="1" applyBorder="1" applyAlignment="1">
      <alignment horizontal="center" vertical="center" wrapText="1" readingOrder="1"/>
    </xf>
    <xf numFmtId="0" fontId="12" fillId="0" borderId="6" xfId="0" applyFont="1" applyBorder="1" applyAlignment="1">
      <alignment vertical="center" wrapText="1" readingOrder="1"/>
    </xf>
    <xf numFmtId="0" fontId="33" fillId="0" borderId="6" xfId="0" applyFont="1" applyBorder="1" applyAlignment="1">
      <alignment horizontal="center" vertical="center" readingOrder="1"/>
    </xf>
    <xf numFmtId="0" fontId="33" fillId="0" borderId="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top" wrapText="1"/>
    </xf>
    <xf numFmtId="14" fontId="2" fillId="0" borderId="26" xfId="0" applyNumberFormat="1" applyFont="1" applyBorder="1" applyAlignment="1">
      <alignment horizontal="center" vertical="top" wrapText="1"/>
    </xf>
    <xf numFmtId="0" fontId="0" fillId="0" borderId="29" xfId="0" applyBorder="1" applyAlignment="1">
      <alignment wrapText="1"/>
    </xf>
    <xf numFmtId="0" fontId="2" fillId="0" borderId="30" xfId="0" applyFont="1" applyBorder="1" applyAlignment="1">
      <alignment horizontal="center" vertical="top" wrapText="1"/>
    </xf>
    <xf numFmtId="14" fontId="2" fillId="0" borderId="30" xfId="0" applyNumberFormat="1" applyFont="1" applyBorder="1" applyAlignment="1">
      <alignment horizontal="center" vertical="top" wrapText="1"/>
    </xf>
    <xf numFmtId="14" fontId="2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40" fillId="0" borderId="6" xfId="0" applyFont="1" applyBorder="1" applyAlignment="1">
      <alignment vertical="top"/>
    </xf>
    <xf numFmtId="0" fontId="40" fillId="0" borderId="1" xfId="0" applyFont="1" applyBorder="1" applyAlignment="1">
      <alignment horizontal="center" vertical="top"/>
    </xf>
    <xf numFmtId="0" fontId="18" fillId="0" borderId="14" xfId="0" applyFont="1" applyBorder="1" applyAlignment="1">
      <alignment horizontal="center" vertical="center" wrapText="1" readingOrder="1"/>
    </xf>
    <xf numFmtId="0" fontId="56" fillId="0" borderId="0" xfId="0" applyFont="1"/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0" fontId="80" fillId="5" borderId="0" xfId="0" applyFont="1" applyFill="1" applyAlignment="1">
      <alignment horizontal="left" vertical="center" wrapText="1"/>
    </xf>
    <xf numFmtId="0" fontId="80" fillId="5" borderId="0" xfId="0" applyFont="1" applyFill="1" applyAlignment="1">
      <alignment horizontal="center" vertical="center"/>
    </xf>
    <xf numFmtId="0" fontId="56" fillId="0" borderId="0" xfId="0" applyFont="1" applyAlignment="1">
      <alignment vertical="center"/>
    </xf>
    <xf numFmtId="43" fontId="81" fillId="2" borderId="1" xfId="1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55" fillId="9" borderId="1" xfId="0" applyFont="1" applyFill="1" applyBorder="1" applyAlignment="1">
      <alignment horizontal="center" vertical="center" wrapText="1" readingOrder="1"/>
    </xf>
    <xf numFmtId="21" fontId="55" fillId="9" borderId="1" xfId="0" applyNumberFormat="1" applyFont="1" applyFill="1" applyBorder="1" applyAlignment="1">
      <alignment horizontal="center" vertical="center" wrapText="1" readingOrder="1"/>
    </xf>
    <xf numFmtId="0" fontId="55" fillId="9" borderId="1" xfId="0" applyFont="1" applyFill="1" applyBorder="1" applyAlignment="1">
      <alignment horizontal="left" vertical="center" wrapText="1"/>
    </xf>
    <xf numFmtId="0" fontId="55" fillId="9" borderId="1" xfId="0" applyFont="1" applyFill="1" applyBorder="1" applyAlignment="1">
      <alignment horizontal="center" vertical="center" wrapText="1"/>
    </xf>
    <xf numFmtId="43" fontId="55" fillId="9" borderId="1" xfId="1" applyFont="1" applyFill="1" applyBorder="1" applyAlignment="1">
      <alignment horizontal="center" vertical="center" wrapText="1"/>
    </xf>
    <xf numFmtId="43" fontId="55" fillId="9" borderId="1" xfId="1" applyFont="1" applyFill="1" applyBorder="1" applyAlignment="1">
      <alignment horizontal="center" vertical="center" wrapText="1" readingOrder="1"/>
    </xf>
    <xf numFmtId="0" fontId="55" fillId="9" borderId="0" xfId="0" applyFont="1" applyFill="1" applyAlignment="1">
      <alignment horizontal="center" vertical="center" wrapText="1" readingOrder="1"/>
    </xf>
    <xf numFmtId="0" fontId="61" fillId="9" borderId="1" xfId="0" applyFont="1" applyFill="1" applyBorder="1" applyAlignment="1">
      <alignment horizontal="center" vertical="center" wrapText="1" readingOrder="1"/>
    </xf>
    <xf numFmtId="0" fontId="18" fillId="9" borderId="0" xfId="0" applyFont="1" applyFill="1" applyAlignment="1">
      <alignment horizontal="center" vertical="center" wrapText="1" readingOrder="1"/>
    </xf>
    <xf numFmtId="0" fontId="60" fillId="9" borderId="1" xfId="0" applyFont="1" applyFill="1" applyBorder="1" applyAlignment="1">
      <alignment horizontal="center" vertical="center" wrapText="1" readingOrder="1"/>
    </xf>
    <xf numFmtId="21" fontId="60" fillId="9" borderId="1" xfId="0" applyNumberFormat="1" applyFont="1" applyFill="1" applyBorder="1" applyAlignment="1">
      <alignment horizontal="center" vertical="center" wrapText="1" readingOrder="1"/>
    </xf>
    <xf numFmtId="0" fontId="60" fillId="9" borderId="1" xfId="0" applyFont="1" applyFill="1" applyBorder="1" applyAlignment="1">
      <alignment horizontal="left" vertical="center" wrapText="1"/>
    </xf>
    <xf numFmtId="0" fontId="60" fillId="9" borderId="1" xfId="0" applyFont="1" applyFill="1" applyBorder="1" applyAlignment="1">
      <alignment horizontal="center" vertical="center" wrapText="1"/>
    </xf>
    <xf numFmtId="43" fontId="60" fillId="9" borderId="1" xfId="1" applyFont="1" applyFill="1" applyBorder="1" applyAlignment="1">
      <alignment horizontal="center" vertical="center" wrapText="1"/>
    </xf>
    <xf numFmtId="43" fontId="60" fillId="9" borderId="1" xfId="1" applyFont="1" applyFill="1" applyBorder="1" applyAlignment="1">
      <alignment horizontal="center" vertical="center" wrapText="1" readingOrder="1"/>
    </xf>
    <xf numFmtId="0" fontId="60" fillId="9" borderId="0" xfId="0" applyFont="1" applyFill="1" applyAlignment="1">
      <alignment horizontal="center" vertical="center" wrapText="1" readingOrder="1"/>
    </xf>
    <xf numFmtId="21" fontId="4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46" fontId="55" fillId="9" borderId="1" xfId="0" applyNumberFormat="1" applyFont="1" applyFill="1" applyBorder="1" applyAlignment="1">
      <alignment horizontal="center" vertical="center" wrapText="1" readingOrder="1"/>
    </xf>
    <xf numFmtId="0" fontId="53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vertical="center"/>
    </xf>
    <xf numFmtId="0" fontId="82" fillId="5" borderId="1" xfId="0" applyFont="1" applyFill="1" applyBorder="1" applyAlignment="1">
      <alignment horizontal="left" vertical="center" wrapText="1"/>
    </xf>
    <xf numFmtId="0" fontId="82" fillId="5" borderId="1" xfId="0" applyFont="1" applyFill="1" applyBorder="1" applyAlignment="1">
      <alignment horizontal="center" vertical="center"/>
    </xf>
    <xf numFmtId="43" fontId="53" fillId="0" borderId="1" xfId="1" applyFont="1" applyBorder="1" applyAlignment="1">
      <alignment vertical="center"/>
    </xf>
    <xf numFmtId="0" fontId="53" fillId="0" borderId="0" xfId="0" applyFont="1"/>
    <xf numFmtId="21" fontId="61" fillId="0" borderId="1" xfId="0" applyNumberFormat="1" applyFont="1" applyBorder="1" applyAlignment="1">
      <alignment horizontal="center" vertical="center" wrapText="1" readingOrder="1"/>
    </xf>
    <xf numFmtId="0" fontId="61" fillId="0" borderId="1" xfId="0" applyFont="1" applyBorder="1" applyAlignment="1">
      <alignment horizontal="left" vertical="center" wrapText="1"/>
    </xf>
    <xf numFmtId="0" fontId="61" fillId="0" borderId="1" xfId="0" applyFont="1" applyBorder="1" applyAlignment="1">
      <alignment horizontal="center" vertical="center" wrapText="1"/>
    </xf>
    <xf numFmtId="43" fontId="61" fillId="0" borderId="1" xfId="1" applyFont="1" applyFill="1" applyBorder="1" applyAlignment="1">
      <alignment horizontal="center" vertical="center" wrapText="1"/>
    </xf>
    <xf numFmtId="43" fontId="61" fillId="0" borderId="1" xfId="1" applyFont="1" applyFill="1" applyBorder="1" applyAlignment="1">
      <alignment horizontal="center" vertical="center" wrapText="1" readingOrder="1"/>
    </xf>
    <xf numFmtId="0" fontId="61" fillId="0" borderId="1" xfId="0" applyFont="1" applyBorder="1" applyAlignment="1">
      <alignment horizontal="center" vertical="center" wrapText="1" readingOrder="1"/>
    </xf>
    <xf numFmtId="0" fontId="46" fillId="0" borderId="0" xfId="0" applyFont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46" fontId="4" fillId="0" borderId="1" xfId="0" applyNumberFormat="1" applyFont="1" applyBorder="1" applyAlignment="1">
      <alignment horizontal="center" vertical="center" wrapText="1" readingOrder="1"/>
    </xf>
    <xf numFmtId="43" fontId="0" fillId="0" borderId="1" xfId="1" applyFont="1" applyFill="1" applyBorder="1" applyAlignment="1">
      <alignment vertical="center" wrapText="1" readingOrder="1"/>
    </xf>
    <xf numFmtId="0" fontId="0" fillId="0" borderId="6" xfId="0" applyBorder="1" applyAlignment="1">
      <alignment horizontal="left" vertical="center" wrapText="1" readingOrder="1"/>
    </xf>
    <xf numFmtId="0" fontId="84" fillId="0" borderId="6" xfId="0" applyFont="1" applyBorder="1" applyAlignment="1">
      <alignment horizontal="center" vertical="top"/>
    </xf>
    <xf numFmtId="43" fontId="1" fillId="0" borderId="6" xfId="1" applyFont="1" applyFill="1" applyBorder="1" applyAlignment="1">
      <alignment horizontal="center" vertical="center" wrapText="1" readingOrder="1"/>
    </xf>
    <xf numFmtId="0" fontId="85" fillId="0" borderId="6" xfId="0" applyFont="1" applyBorder="1" applyAlignment="1">
      <alignment horizontal="center" vertical="center" wrapText="1" readingOrder="1"/>
    </xf>
    <xf numFmtId="0" fontId="84" fillId="0" borderId="1" xfId="0" applyFont="1" applyBorder="1" applyAlignment="1">
      <alignment horizontal="center" vertical="top"/>
    </xf>
    <xf numFmtId="0" fontId="0" fillId="0" borderId="14" xfId="0" applyBorder="1" applyAlignment="1">
      <alignment horizontal="center" vertical="center" wrapText="1" readingOrder="1"/>
    </xf>
    <xf numFmtId="46" fontId="50" fillId="0" borderId="6" xfId="0" applyNumberFormat="1" applyFont="1" applyBorder="1" applyAlignment="1">
      <alignment horizontal="center" vertical="center" wrapText="1" readingOrder="1"/>
    </xf>
    <xf numFmtId="21" fontId="5" fillId="0" borderId="1" xfId="0" applyNumberFormat="1" applyFont="1" applyBorder="1" applyAlignment="1">
      <alignment horizontal="center" vertical="center"/>
    </xf>
    <xf numFmtId="43" fontId="5" fillId="0" borderId="1" xfId="1" applyFont="1" applyFill="1" applyBorder="1" applyAlignment="1">
      <alignment vertical="center"/>
    </xf>
    <xf numFmtId="0" fontId="68" fillId="0" borderId="1" xfId="0" applyFont="1" applyBorder="1" applyAlignment="1">
      <alignment horizontal="center" vertical="center" wrapText="1"/>
    </xf>
    <xf numFmtId="21" fontId="68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46" fontId="50" fillId="0" borderId="1" xfId="0" applyNumberFormat="1" applyFont="1" applyBorder="1" applyAlignment="1">
      <alignment horizontal="center" vertical="center" wrapText="1" readingOrder="1"/>
    </xf>
    <xf numFmtId="46" fontId="50" fillId="0" borderId="1" xfId="0" applyNumberFormat="1" applyFont="1" applyBorder="1" applyAlignment="1">
      <alignment vertical="center" wrapText="1" readingOrder="1"/>
    </xf>
    <xf numFmtId="21" fontId="5" fillId="0" borderId="1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46" fontId="2" fillId="0" borderId="6" xfId="0" applyNumberFormat="1" applyFont="1" applyBorder="1" applyAlignment="1">
      <alignment vertical="center"/>
    </xf>
    <xf numFmtId="0" fontId="86" fillId="9" borderId="6" xfId="0" applyFont="1" applyFill="1" applyBorder="1" applyAlignment="1">
      <alignment horizontal="center" vertical="center" wrapText="1" readingOrder="1"/>
    </xf>
    <xf numFmtId="0" fontId="50" fillId="0" borderId="1" xfId="0" applyFont="1" applyBorder="1" applyAlignment="1">
      <alignment horizontal="left" vertical="center" wrapText="1"/>
    </xf>
    <xf numFmtId="0" fontId="50" fillId="0" borderId="1" xfId="0" applyFont="1" applyBorder="1" applyAlignment="1">
      <alignment horizontal="center" vertical="center" wrapText="1"/>
    </xf>
    <xf numFmtId="21" fontId="5" fillId="0" borderId="1" xfId="0" applyNumberFormat="1" applyFont="1" applyBorder="1" applyAlignment="1">
      <alignment horizontal="center" vertical="center" wrapText="1"/>
    </xf>
    <xf numFmtId="0" fontId="50" fillId="0" borderId="1" xfId="0" applyFont="1" applyBorder="1" applyAlignment="1">
      <alignment vertical="center"/>
    </xf>
    <xf numFmtId="0" fontId="50" fillId="0" borderId="1" xfId="0" applyFont="1" applyBorder="1" applyAlignment="1">
      <alignment horizontal="center" vertical="center"/>
    </xf>
    <xf numFmtId="0" fontId="87" fillId="5" borderId="1" xfId="0" applyFont="1" applyFill="1" applyBorder="1" applyAlignment="1">
      <alignment horizontal="left" vertical="center" wrapText="1"/>
    </xf>
    <xf numFmtId="0" fontId="87" fillId="5" borderId="1" xfId="0" applyFont="1" applyFill="1" applyBorder="1" applyAlignment="1">
      <alignment horizontal="center" vertical="center"/>
    </xf>
    <xf numFmtId="0" fontId="88" fillId="0" borderId="1" xfId="1" applyNumberFormat="1" applyFont="1" applyFill="1" applyBorder="1" applyAlignment="1">
      <alignment horizontal="left" vertical="center" wrapText="1"/>
    </xf>
    <xf numFmtId="0" fontId="88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46" fontId="17" fillId="4" borderId="6" xfId="0" applyNumberFormat="1" applyFont="1" applyFill="1" applyBorder="1" applyAlignment="1">
      <alignment horizontal="center" vertical="center" wrapText="1" readingOrder="1"/>
    </xf>
    <xf numFmtId="21" fontId="8" fillId="4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43" fontId="76" fillId="4" borderId="1" xfId="1" applyFont="1" applyFill="1" applyBorder="1" applyAlignment="1">
      <alignment horizontal="right" vertical="center"/>
    </xf>
    <xf numFmtId="43" fontId="8" fillId="4" borderId="1" xfId="1" applyFont="1" applyFill="1" applyBorder="1" applyAlignment="1">
      <alignment vertical="center"/>
    </xf>
    <xf numFmtId="0" fontId="89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21" fontId="8" fillId="4" borderId="1" xfId="0" applyNumberFormat="1" applyFont="1" applyFill="1" applyBorder="1" applyAlignment="1">
      <alignment horizontal="center" vertical="center" wrapText="1"/>
    </xf>
    <xf numFmtId="0" fontId="8" fillId="4" borderId="0" xfId="0" applyFont="1" applyFill="1" applyAlignment="1">
      <alignment vertical="center"/>
    </xf>
    <xf numFmtId="43" fontId="29" fillId="0" borderId="1" xfId="1" applyFont="1" applyFill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center" vertical="center" wrapText="1"/>
    </xf>
    <xf numFmtId="43" fontId="64" fillId="8" borderId="1" xfId="1" applyFont="1" applyFill="1" applyBorder="1" applyAlignment="1">
      <alignment horizontal="right" vertical="center"/>
    </xf>
    <xf numFmtId="43" fontId="29" fillId="8" borderId="1" xfId="1" applyFont="1" applyFill="1" applyBorder="1" applyAlignment="1">
      <alignment vertical="center"/>
    </xf>
    <xf numFmtId="0" fontId="67" fillId="8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 wrapText="1"/>
    </xf>
    <xf numFmtId="21" fontId="29" fillId="8" borderId="1" xfId="0" applyNumberFormat="1" applyFont="1" applyFill="1" applyBorder="1" applyAlignment="1">
      <alignment horizontal="center" vertical="center" wrapText="1"/>
    </xf>
    <xf numFmtId="0" fontId="29" fillId="8" borderId="0" xfId="0" applyFont="1" applyFill="1" applyAlignment="1">
      <alignment vertical="center"/>
    </xf>
    <xf numFmtId="43" fontId="55" fillId="0" borderId="1" xfId="1" applyFont="1" applyBorder="1" applyAlignment="1">
      <alignment horizontal="center" vertical="center" wrapText="1"/>
    </xf>
    <xf numFmtId="0" fontId="55" fillId="0" borderId="6" xfId="0" applyFont="1" applyBorder="1" applyAlignment="1">
      <alignment horizontal="center" vertical="center" wrapText="1" readingOrder="1"/>
    </xf>
    <xf numFmtId="21" fontId="53" fillId="0" borderId="1" xfId="0" applyNumberFormat="1" applyFont="1" applyBorder="1" applyAlignment="1">
      <alignment vertical="center"/>
    </xf>
    <xf numFmtId="46" fontId="53" fillId="0" borderId="1" xfId="0" applyNumberFormat="1" applyFont="1" applyBorder="1" applyAlignment="1">
      <alignment vertical="center"/>
    </xf>
    <xf numFmtId="0" fontId="78" fillId="0" borderId="6" xfId="0" applyFont="1" applyBorder="1" applyAlignment="1">
      <alignment horizontal="center" vertical="center" readingOrder="1"/>
    </xf>
    <xf numFmtId="0" fontId="50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center"/>
    </xf>
    <xf numFmtId="0" fontId="72" fillId="0" borderId="1" xfId="0" applyFont="1" applyBorder="1" applyAlignment="1">
      <alignment horizontal="center" vertical="center" wrapText="1" readingOrder="1"/>
    </xf>
    <xf numFmtId="43" fontId="18" fillId="4" borderId="1" xfId="1" applyFont="1" applyFill="1" applyBorder="1" applyAlignment="1">
      <alignment vertical="center" wrapText="1" readingOrder="1"/>
    </xf>
    <xf numFmtId="0" fontId="18" fillId="4" borderId="4" xfId="0" applyFont="1" applyFill="1" applyBorder="1" applyAlignment="1">
      <alignment vertical="center" wrapText="1" readingOrder="1"/>
    </xf>
    <xf numFmtId="0" fontId="18" fillId="4" borderId="0" xfId="0" applyFont="1" applyFill="1" applyAlignment="1">
      <alignment vertical="center" wrapText="1" readingOrder="1"/>
    </xf>
    <xf numFmtId="0" fontId="29" fillId="4" borderId="6" xfId="0" applyFont="1" applyFill="1" applyBorder="1" applyAlignment="1">
      <alignment horizontal="center" vertical="center"/>
    </xf>
    <xf numFmtId="0" fontId="29" fillId="4" borderId="7" xfId="0" applyFont="1" applyFill="1" applyBorder="1" applyAlignment="1">
      <alignment horizontal="center" vertical="center"/>
    </xf>
    <xf numFmtId="46" fontId="29" fillId="4" borderId="7" xfId="0" applyNumberFormat="1" applyFont="1" applyFill="1" applyBorder="1" applyAlignment="1">
      <alignment horizontal="center" vertical="center"/>
    </xf>
    <xf numFmtId="164" fontId="18" fillId="4" borderId="1" xfId="0" applyNumberFormat="1" applyFont="1" applyFill="1" applyBorder="1" applyAlignment="1">
      <alignment horizontal="center" vertical="center" wrapText="1" readingOrder="1"/>
    </xf>
    <xf numFmtId="0" fontId="18" fillId="4" borderId="1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 readingOrder="1"/>
    </xf>
    <xf numFmtId="43" fontId="14" fillId="0" borderId="1" xfId="1" applyFont="1" applyFill="1" applyBorder="1" applyAlignment="1">
      <alignment vertical="center" wrapText="1" readingOrder="1"/>
    </xf>
    <xf numFmtId="0" fontId="14" fillId="0" borderId="4" xfId="0" applyFont="1" applyBorder="1" applyAlignment="1">
      <alignment vertical="center" wrapText="1" readingOrder="1"/>
    </xf>
    <xf numFmtId="0" fontId="14" fillId="0" borderId="0" xfId="0" applyFont="1" applyAlignment="1">
      <alignment vertical="center" wrapText="1" readingOrder="1"/>
    </xf>
    <xf numFmtId="0" fontId="18" fillId="4" borderId="6" xfId="0" applyFont="1" applyFill="1" applyBorder="1" applyAlignment="1">
      <alignment horizontal="left" vertical="center" wrapText="1" readingOrder="1"/>
    </xf>
    <xf numFmtId="0" fontId="40" fillId="4" borderId="6" xfId="0" applyFont="1" applyFill="1" applyBorder="1" applyAlignment="1">
      <alignment vertical="top"/>
    </xf>
    <xf numFmtId="21" fontId="18" fillId="4" borderId="6" xfId="0" applyNumberFormat="1" applyFont="1" applyFill="1" applyBorder="1" applyAlignment="1">
      <alignment horizontal="center" vertical="center" wrapText="1" readingOrder="1"/>
    </xf>
    <xf numFmtId="0" fontId="40" fillId="4" borderId="6" xfId="0" applyFont="1" applyFill="1" applyBorder="1" applyAlignment="1">
      <alignment horizontal="center" vertical="top"/>
    </xf>
    <xf numFmtId="43" fontId="18" fillId="4" borderId="6" xfId="1" applyFont="1" applyFill="1" applyBorder="1" applyAlignment="1">
      <alignment horizontal="center" vertical="center" wrapText="1" readingOrder="1"/>
    </xf>
    <xf numFmtId="0" fontId="72" fillId="4" borderId="6" xfId="0" applyFont="1" applyFill="1" applyBorder="1" applyAlignment="1">
      <alignment horizontal="center" vertical="center" wrapText="1" readingOrder="1"/>
    </xf>
    <xf numFmtId="0" fontId="29" fillId="9" borderId="1" xfId="0" applyFont="1" applyFill="1" applyBorder="1" applyAlignment="1">
      <alignment horizontal="center" vertical="center"/>
    </xf>
    <xf numFmtId="21" fontId="29" fillId="9" borderId="1" xfId="0" applyNumberFormat="1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left" vertical="center" wrapText="1"/>
    </xf>
    <xf numFmtId="43" fontId="29" fillId="9" borderId="1" xfId="1" applyFont="1" applyFill="1" applyBorder="1" applyAlignment="1">
      <alignment vertical="center"/>
    </xf>
    <xf numFmtId="0" fontId="67" fillId="9" borderId="1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 wrapText="1"/>
    </xf>
    <xf numFmtId="21" fontId="29" fillId="9" borderId="1" xfId="0" applyNumberFormat="1" applyFont="1" applyFill="1" applyBorder="1" applyAlignment="1">
      <alignment horizontal="center" vertical="center" wrapText="1"/>
    </xf>
    <xf numFmtId="0" fontId="29" fillId="9" borderId="0" xfId="0" applyFont="1" applyFill="1" applyAlignment="1">
      <alignment vertical="center"/>
    </xf>
    <xf numFmtId="0" fontId="53" fillId="9" borderId="1" xfId="0" applyFont="1" applyFill="1" applyBorder="1" applyAlignment="1">
      <alignment horizontal="center" vertical="center" wrapText="1" readingOrder="1"/>
    </xf>
    <xf numFmtId="21" fontId="53" fillId="9" borderId="1" xfId="0" applyNumberFormat="1" applyFont="1" applyFill="1" applyBorder="1" applyAlignment="1">
      <alignment horizontal="center" vertical="center" wrapText="1" readingOrder="1"/>
    </xf>
    <xf numFmtId="164" fontId="14" fillId="0" borderId="1" xfId="0" applyNumberFormat="1" applyFont="1" applyBorder="1" applyAlignment="1">
      <alignment horizontal="center" vertical="center" wrapText="1" readingOrder="1"/>
    </xf>
    <xf numFmtId="0" fontId="90" fillId="0" borderId="3" xfId="0" applyFont="1" applyBorder="1" applyAlignment="1">
      <alignment horizontal="center" vertical="center"/>
    </xf>
    <xf numFmtId="21" fontId="4" fillId="0" borderId="6" xfId="0" applyNumberFormat="1" applyFont="1" applyBorder="1" applyAlignment="1">
      <alignment horizontal="center" vertical="center"/>
    </xf>
    <xf numFmtId="21" fontId="4" fillId="0" borderId="3" xfId="0" applyNumberFormat="1" applyFont="1" applyBorder="1" applyAlignment="1">
      <alignment horizontal="center" vertical="center"/>
    </xf>
    <xf numFmtId="46" fontId="21" fillId="8" borderId="6" xfId="0" applyNumberFormat="1" applyFont="1" applyFill="1" applyBorder="1" applyAlignment="1">
      <alignment horizontal="center" vertical="center" wrapText="1" readingOrder="1"/>
    </xf>
    <xf numFmtId="46" fontId="21" fillId="8" borderId="7" xfId="0" applyNumberFormat="1" applyFont="1" applyFill="1" applyBorder="1" applyAlignment="1">
      <alignment horizontal="center" vertical="center" wrapText="1" readingOrder="1"/>
    </xf>
    <xf numFmtId="46" fontId="21" fillId="8" borderId="3" xfId="0" applyNumberFormat="1" applyFont="1" applyFill="1" applyBorder="1" applyAlignment="1">
      <alignment horizontal="center" vertical="center" wrapText="1" readingOrder="1"/>
    </xf>
    <xf numFmtId="21" fontId="21" fillId="8" borderId="6" xfId="0" applyNumberFormat="1" applyFont="1" applyFill="1" applyBorder="1" applyAlignment="1">
      <alignment horizontal="center" vertical="center" wrapText="1" readingOrder="1"/>
    </xf>
    <xf numFmtId="21" fontId="21" fillId="8" borderId="7" xfId="0" applyNumberFormat="1" applyFont="1" applyFill="1" applyBorder="1" applyAlignment="1">
      <alignment horizontal="center" vertical="center" wrapText="1" readingOrder="1"/>
    </xf>
    <xf numFmtId="21" fontId="21" fillId="8" borderId="3" xfId="0" applyNumberFormat="1" applyFont="1" applyFill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1" fontId="4" fillId="0" borderId="7" xfId="0" applyNumberFormat="1" applyFont="1" applyBorder="1" applyAlignment="1">
      <alignment horizontal="center" vertical="center"/>
    </xf>
    <xf numFmtId="46" fontId="12" fillId="0" borderId="6" xfId="0" applyNumberFormat="1" applyFont="1" applyBorder="1" applyAlignment="1">
      <alignment horizontal="center" vertical="center" wrapText="1" readingOrder="1"/>
    </xf>
    <xf numFmtId="46" fontId="12" fillId="0" borderId="3" xfId="0" applyNumberFormat="1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6" fontId="2" fillId="0" borderId="6" xfId="0" applyNumberFormat="1" applyFont="1" applyBorder="1" applyAlignment="1">
      <alignment horizontal="center" vertical="center"/>
    </xf>
    <xf numFmtId="0" fontId="46" fillId="8" borderId="6" xfId="0" applyFont="1" applyFill="1" applyBorder="1" applyAlignment="1">
      <alignment horizontal="center" vertical="center"/>
    </xf>
    <xf numFmtId="0" fontId="46" fillId="8" borderId="7" xfId="0" applyFont="1" applyFill="1" applyBorder="1" applyAlignment="1">
      <alignment horizontal="center" vertical="center"/>
    </xf>
    <xf numFmtId="0" fontId="46" fillId="8" borderId="3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left" vertical="center" wrapText="1" readingOrder="1"/>
    </xf>
    <xf numFmtId="0" fontId="24" fillId="0" borderId="2" xfId="0" applyFont="1" applyBorder="1" applyAlignment="1">
      <alignment horizontal="left" vertical="center" wrapText="1" readingOrder="1"/>
    </xf>
    <xf numFmtId="0" fontId="26" fillId="0" borderId="0" xfId="0" applyFont="1" applyAlignment="1">
      <alignment horizontal="left" vertical="center" wrapText="1" readingOrder="1"/>
    </xf>
    <xf numFmtId="0" fontId="26" fillId="0" borderId="8" xfId="0" applyFont="1" applyBorder="1" applyAlignment="1">
      <alignment horizontal="left" vertical="center" wrapText="1" readingOrder="1"/>
    </xf>
    <xf numFmtId="0" fontId="14" fillId="0" borderId="6" xfId="0" applyFont="1" applyBorder="1" applyAlignment="1">
      <alignment horizontal="center" vertical="center" wrapText="1" readingOrder="1"/>
    </xf>
    <xf numFmtId="0" fontId="14" fillId="0" borderId="7" xfId="0" applyFont="1" applyBorder="1" applyAlignment="1">
      <alignment horizontal="center" vertical="center" wrapText="1" readingOrder="1"/>
    </xf>
    <xf numFmtId="0" fontId="14" fillId="0" borderId="3" xfId="0" applyFont="1" applyBorder="1" applyAlignment="1">
      <alignment horizontal="center" vertical="center" wrapText="1" readingOrder="1"/>
    </xf>
    <xf numFmtId="0" fontId="24" fillId="0" borderId="0" xfId="0" applyFont="1" applyAlignment="1">
      <alignment horizontal="center" vertical="center" wrapText="1" readingOrder="1"/>
    </xf>
    <xf numFmtId="0" fontId="24" fillId="0" borderId="1" xfId="0" applyFont="1" applyBorder="1" applyAlignment="1" applyProtection="1">
      <alignment horizontal="left" vertical="center" wrapText="1" readingOrder="1"/>
      <protection locked="0"/>
    </xf>
    <xf numFmtId="0" fontId="26" fillId="0" borderId="4" xfId="0" applyFont="1" applyBorder="1" applyAlignment="1">
      <alignment horizontal="left" vertical="center" wrapText="1" readingOrder="1"/>
    </xf>
    <xf numFmtId="0" fontId="26" fillId="0" borderId="5" xfId="0" applyFont="1" applyBorder="1" applyAlignment="1">
      <alignment horizontal="left" vertical="center" wrapText="1" readingOrder="1"/>
    </xf>
    <xf numFmtId="0" fontId="26" fillId="0" borderId="9" xfId="0" applyFont="1" applyBorder="1" applyAlignment="1">
      <alignment horizontal="left" vertical="center" readingOrder="1"/>
    </xf>
    <xf numFmtId="0" fontId="26" fillId="0" borderId="2" xfId="0" applyFont="1" applyBorder="1" applyAlignment="1">
      <alignment horizontal="left" vertical="center" readingOrder="1"/>
    </xf>
    <xf numFmtId="0" fontId="26" fillId="0" borderId="4" xfId="0" applyFont="1" applyBorder="1" applyAlignment="1">
      <alignment horizontal="left" vertical="center" readingOrder="1"/>
    </xf>
    <xf numFmtId="0" fontId="26" fillId="0" borderId="8" xfId="0" applyFont="1" applyBorder="1" applyAlignment="1">
      <alignment horizontal="left" vertical="center" readingOrder="1"/>
    </xf>
    <xf numFmtId="0" fontId="26" fillId="0" borderId="14" xfId="0" applyFont="1" applyBorder="1" applyAlignment="1">
      <alignment horizontal="left" vertical="center" readingOrder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21" fontId="2" fillId="0" borderId="12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9" fillId="0" borderId="13" xfId="0" applyFont="1" applyBorder="1" applyAlignment="1">
      <alignment horizontal="center" vertical="center" wrapText="1" readingOrder="1"/>
    </xf>
    <xf numFmtId="0" fontId="49" fillId="0" borderId="9" xfId="0" applyFont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6" fontId="6" fillId="0" borderId="7" xfId="0" applyNumberFormat="1" applyFont="1" applyBorder="1" applyAlignment="1">
      <alignment horizontal="center" vertical="center"/>
    </xf>
    <xf numFmtId="21" fontId="29" fillId="0" borderId="12" xfId="0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21" fontId="18" fillId="0" borderId="6" xfId="0" applyNumberFormat="1" applyFont="1" applyBorder="1" applyAlignment="1">
      <alignment horizontal="center" vertical="center" readingOrder="1"/>
    </xf>
    <xf numFmtId="21" fontId="18" fillId="0" borderId="7" xfId="0" applyNumberFormat="1" applyFont="1" applyBorder="1" applyAlignment="1">
      <alignment horizontal="center" vertical="center" readingOrder="1"/>
    </xf>
    <xf numFmtId="21" fontId="18" fillId="0" borderId="3" xfId="0" applyNumberFormat="1" applyFont="1" applyBorder="1" applyAlignment="1">
      <alignment horizontal="center" vertical="center" readingOrder="1"/>
    </xf>
    <xf numFmtId="21" fontId="18" fillId="0" borderId="6" xfId="0" applyNumberFormat="1" applyFont="1" applyBorder="1" applyAlignment="1">
      <alignment horizontal="center" vertical="center" wrapText="1" readingOrder="1"/>
    </xf>
    <xf numFmtId="21" fontId="18" fillId="0" borderId="7" xfId="0" applyNumberFormat="1" applyFont="1" applyBorder="1" applyAlignment="1">
      <alignment horizontal="center" vertical="center" wrapText="1" readingOrder="1"/>
    </xf>
    <xf numFmtId="21" fontId="18" fillId="0" borderId="3" xfId="0" applyNumberFormat="1" applyFont="1" applyBorder="1" applyAlignment="1">
      <alignment horizontal="center" vertical="center" wrapText="1" readingOrder="1"/>
    </xf>
    <xf numFmtId="46" fontId="2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46" fontId="2" fillId="0" borderId="3" xfId="0" applyNumberFormat="1" applyFont="1" applyBorder="1" applyAlignment="1">
      <alignment horizontal="center" vertical="center"/>
    </xf>
    <xf numFmtId="21" fontId="13" fillId="0" borderId="6" xfId="0" applyNumberFormat="1" applyFont="1" applyBorder="1" applyAlignment="1">
      <alignment horizontal="center" vertical="center" wrapText="1" readingOrder="1"/>
    </xf>
    <xf numFmtId="21" fontId="13" fillId="0" borderId="7" xfId="0" applyNumberFormat="1" applyFont="1" applyBorder="1" applyAlignment="1">
      <alignment horizontal="center" vertical="center" wrapText="1" readingOrder="1"/>
    </xf>
    <xf numFmtId="21" fontId="13" fillId="0" borderId="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 readingOrder="1"/>
    </xf>
    <xf numFmtId="0" fontId="4" fillId="0" borderId="18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21" fontId="4" fillId="0" borderId="1" xfId="0" applyNumberFormat="1" applyFont="1" applyBorder="1" applyAlignment="1">
      <alignment horizontal="center" vertical="center"/>
    </xf>
    <xf numFmtId="46" fontId="4" fillId="0" borderId="1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 readingOrder="1"/>
    </xf>
    <xf numFmtId="46" fontId="4" fillId="0" borderId="7" xfId="0" applyNumberFormat="1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readingOrder="1"/>
    </xf>
    <xf numFmtId="0" fontId="4" fillId="0" borderId="7" xfId="0" applyFont="1" applyBorder="1" applyAlignment="1">
      <alignment horizontal="center" vertical="center" readingOrder="1"/>
    </xf>
    <xf numFmtId="0" fontId="4" fillId="0" borderId="3" xfId="0" applyFont="1" applyBorder="1" applyAlignment="1">
      <alignment horizontal="center" vertical="center" readingOrder="1"/>
    </xf>
    <xf numFmtId="21" fontId="4" fillId="0" borderId="6" xfId="0" applyNumberFormat="1" applyFont="1" applyBorder="1" applyAlignment="1">
      <alignment horizontal="center" vertical="center" wrapText="1" readingOrder="1"/>
    </xf>
    <xf numFmtId="21" fontId="4" fillId="0" borderId="7" xfId="0" applyNumberFormat="1" applyFont="1" applyBorder="1" applyAlignment="1">
      <alignment horizontal="center" vertical="center" wrapText="1" readingOrder="1"/>
    </xf>
    <xf numFmtId="21" fontId="4" fillId="0" borderId="3" xfId="0" applyNumberFormat="1" applyFont="1" applyBorder="1" applyAlignment="1">
      <alignment horizontal="center" vertical="center" wrapText="1" readingOrder="1"/>
    </xf>
    <xf numFmtId="46" fontId="4" fillId="0" borderId="11" xfId="0" applyNumberFormat="1" applyFont="1" applyBorder="1" applyAlignment="1">
      <alignment horizontal="center" vertical="center"/>
    </xf>
    <xf numFmtId="46" fontId="4" fillId="0" borderId="10" xfId="0" applyNumberFormat="1" applyFont="1" applyBorder="1" applyAlignment="1">
      <alignment horizontal="center" vertical="center"/>
    </xf>
    <xf numFmtId="21" fontId="4" fillId="0" borderId="11" xfId="0" applyNumberFormat="1" applyFont="1" applyBorder="1" applyAlignment="1">
      <alignment horizontal="center" vertical="center"/>
    </xf>
    <xf numFmtId="21" fontId="4" fillId="0" borderId="12" xfId="0" applyNumberFormat="1" applyFont="1" applyBorder="1" applyAlignment="1">
      <alignment horizontal="center" vertical="center"/>
    </xf>
    <xf numFmtId="46" fontId="4" fillId="0" borderId="1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6" fontId="4" fillId="0" borderId="6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46" fontId="49" fillId="0" borderId="11" xfId="0" applyNumberFormat="1" applyFont="1" applyBorder="1" applyAlignment="1">
      <alignment horizontal="center" vertical="center"/>
    </xf>
    <xf numFmtId="46" fontId="49" fillId="0" borderId="10" xfId="0" applyNumberFormat="1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21" fontId="29" fillId="0" borderId="6" xfId="0" applyNumberFormat="1" applyFont="1" applyBorder="1" applyAlignment="1">
      <alignment horizontal="center" vertical="center"/>
    </xf>
    <xf numFmtId="21" fontId="29" fillId="0" borderId="3" xfId="0" applyNumberFormat="1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21" fontId="29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46" fontId="4" fillId="0" borderId="6" xfId="0" applyNumberFormat="1" applyFont="1" applyBorder="1" applyAlignment="1">
      <alignment horizontal="center" vertical="center" wrapText="1" readingOrder="1"/>
    </xf>
    <xf numFmtId="21" fontId="4" fillId="0" borderId="6" xfId="0" applyNumberFormat="1" applyFont="1" applyBorder="1" applyAlignment="1">
      <alignment horizontal="center" vertical="center" wrapText="1"/>
    </xf>
    <xf numFmtId="21" fontId="4" fillId="0" borderId="3" xfId="0" applyNumberFormat="1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/>
    </xf>
    <xf numFmtId="0" fontId="53" fillId="0" borderId="4" xfId="0" applyFont="1" applyBorder="1" applyAlignment="1">
      <alignment horizontal="center" vertical="center" wrapText="1"/>
    </xf>
    <xf numFmtId="0" fontId="53" fillId="0" borderId="8" xfId="0" applyFont="1" applyBorder="1" applyAlignment="1">
      <alignment horizontal="center" vertical="center" wrapText="1"/>
    </xf>
    <xf numFmtId="0" fontId="53" fillId="0" borderId="5" xfId="0" applyFont="1" applyBorder="1" applyAlignment="1">
      <alignment horizontal="center" vertical="center" wrapText="1"/>
    </xf>
    <xf numFmtId="0" fontId="52" fillId="0" borderId="14" xfId="0" applyFont="1" applyBorder="1" applyAlignment="1">
      <alignment horizontal="center"/>
    </xf>
    <xf numFmtId="0" fontId="62" fillId="0" borderId="6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center" vertical="center" wrapText="1"/>
    </xf>
    <xf numFmtId="46" fontId="63" fillId="0" borderId="15" xfId="0" applyNumberFormat="1" applyFont="1" applyBorder="1" applyAlignment="1">
      <alignment horizontal="center" vertical="center" wrapText="1"/>
    </xf>
    <xf numFmtId="14" fontId="63" fillId="0" borderId="16" xfId="0" applyNumberFormat="1" applyFont="1" applyBorder="1" applyAlignment="1">
      <alignment horizontal="center" vertical="center" wrapText="1"/>
    </xf>
    <xf numFmtId="49" fontId="62" fillId="0" borderId="6" xfId="0" applyNumberFormat="1" applyFont="1" applyBorder="1" applyAlignment="1">
      <alignment horizontal="center" vertical="center"/>
    </xf>
    <xf numFmtId="49" fontId="62" fillId="0" borderId="3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21" fontId="6" fillId="0" borderId="1" xfId="0" applyNumberFormat="1" applyFont="1" applyBorder="1" applyAlignment="1">
      <alignment horizontal="center" vertical="center" wrapText="1" readingOrder="1"/>
    </xf>
  </cellXfs>
  <cellStyles count="3">
    <cellStyle name="Comma" xfId="1" builtinId="3"/>
    <cellStyle name="Neutral" xfId="2" builtinId="28"/>
    <cellStyle name="Normal" xfId="0" builtinId="0"/>
  </cellStyles>
  <dxfs count="0"/>
  <tableStyles count="0" defaultTableStyle="TableStyleMedium9" defaultPivotStyle="PivotStyleLight16"/>
  <colors>
    <mruColors>
      <color rgb="FFFFCCFF"/>
      <color rgb="FF00FFFF"/>
      <color rgb="FFFFFFCC"/>
      <color rgb="FF000000"/>
      <color rgb="FF99FFCC"/>
      <color rgb="FFFFFFFF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6183"/>
  <sheetViews>
    <sheetView zoomScale="80" zoomScaleNormal="80" zoomScaleSheetLayoutView="70" workbookViewId="0">
      <pane ySplit="2" topLeftCell="A3" activePane="bottomLeft" state="frozen"/>
      <selection activeCell="G54" activeCellId="4" sqref="D45 J52 I54 G53 G54"/>
      <selection pane="bottomLeft" activeCell="E39" sqref="E39"/>
    </sheetView>
  </sheetViews>
  <sheetFormatPr defaultColWidth="9.08984375" defaultRowHeight="14.5" x14ac:dyDescent="0.35"/>
  <cols>
    <col min="1" max="1" width="5.453125" style="53" customWidth="1"/>
    <col min="2" max="2" width="38" style="44" bestFit="1" customWidth="1"/>
    <col min="3" max="3" width="14.36328125" style="44" bestFit="1" customWidth="1"/>
    <col min="4" max="4" width="14.54296875" style="44" customWidth="1"/>
    <col min="5" max="5" width="68.36328125" style="72" customWidth="1"/>
    <col min="6" max="6" width="10.6328125" style="44" bestFit="1" customWidth="1"/>
    <col min="7" max="7" width="17.36328125" style="75" bestFit="1" customWidth="1"/>
    <col min="8" max="8" width="20" style="75" customWidth="1"/>
    <col min="9" max="9" width="6.90625" style="44" hidden="1" customWidth="1"/>
    <col min="10" max="10" width="19.6328125" style="44" bestFit="1" customWidth="1"/>
    <col min="11" max="11" width="31.54296875" style="44" customWidth="1"/>
    <col min="12" max="12" width="15.08984375" style="44" customWidth="1"/>
    <col min="13" max="13" width="9.08984375" style="44"/>
    <col min="14" max="14" width="11.36328125" style="44" bestFit="1" customWidth="1"/>
    <col min="15" max="16384" width="9.08984375" style="44"/>
  </cols>
  <sheetData>
    <row r="1" spans="1:12" s="84" customFormat="1" ht="18.5" x14ac:dyDescent="0.35">
      <c r="A1" s="697" t="s">
        <v>6</v>
      </c>
      <c r="B1" s="697"/>
      <c r="C1" s="697"/>
      <c r="D1" s="697"/>
      <c r="E1" s="697"/>
      <c r="F1" s="697"/>
      <c r="G1" s="697"/>
      <c r="H1" s="697"/>
      <c r="I1" s="697"/>
      <c r="J1" s="697"/>
    </row>
    <row r="2" spans="1:12" s="49" customFormat="1" ht="29" x14ac:dyDescent="0.35">
      <c r="A2" s="45" t="s">
        <v>13</v>
      </c>
      <c r="B2" s="46" t="s">
        <v>11</v>
      </c>
      <c r="C2" s="46" t="s">
        <v>9</v>
      </c>
      <c r="D2" s="46" t="s">
        <v>0</v>
      </c>
      <c r="E2" s="46" t="s">
        <v>3</v>
      </c>
      <c r="F2" s="46" t="s">
        <v>1</v>
      </c>
      <c r="G2" s="47" t="s">
        <v>7</v>
      </c>
      <c r="H2" s="47" t="s">
        <v>2</v>
      </c>
      <c r="I2" s="48" t="s">
        <v>4</v>
      </c>
      <c r="J2" s="46" t="s">
        <v>5</v>
      </c>
      <c r="K2" s="48" t="s">
        <v>23</v>
      </c>
      <c r="L2" s="48" t="s">
        <v>57</v>
      </c>
    </row>
    <row r="3" spans="1:12" s="84" customFormat="1" ht="18.5" x14ac:dyDescent="0.35">
      <c r="A3" s="698" t="s">
        <v>8</v>
      </c>
      <c r="B3" s="698"/>
      <c r="C3" s="80"/>
      <c r="D3" s="81"/>
      <c r="E3" s="80"/>
      <c r="F3" s="81"/>
      <c r="G3" s="82"/>
      <c r="H3" s="82"/>
      <c r="I3" s="83"/>
      <c r="J3" s="81"/>
      <c r="K3" s="83"/>
    </row>
    <row r="4" spans="1:12" s="53" customFormat="1" ht="27" customHeight="1" x14ac:dyDescent="0.35">
      <c r="A4" s="42">
        <v>1</v>
      </c>
      <c r="B4" s="42">
        <v>4511126725</v>
      </c>
      <c r="C4" s="55">
        <v>0.79542824074074081</v>
      </c>
      <c r="D4" s="61">
        <v>45930</v>
      </c>
      <c r="E4" s="156" t="s">
        <v>69</v>
      </c>
      <c r="F4" s="42">
        <f>2-1</f>
        <v>1</v>
      </c>
      <c r="G4" s="56">
        <v>133841.79999999999</v>
      </c>
      <c r="H4" s="52">
        <f>G4*F4</f>
        <v>133841.79999999999</v>
      </c>
      <c r="I4" s="42"/>
      <c r="J4" s="30" t="s">
        <v>65</v>
      </c>
      <c r="K4" s="42" t="s">
        <v>46</v>
      </c>
      <c r="L4" s="42"/>
    </row>
    <row r="5" spans="1:12" s="104" customFormat="1" ht="25.25" customHeight="1" x14ac:dyDescent="0.35">
      <c r="A5" s="42">
        <v>2</v>
      </c>
      <c r="B5" s="42">
        <v>4511137209</v>
      </c>
      <c r="C5" s="55">
        <v>0.20932870370370371</v>
      </c>
      <c r="D5" s="54">
        <v>0.62877314814814811</v>
      </c>
      <c r="E5" s="66" t="s">
        <v>392</v>
      </c>
      <c r="F5" s="42">
        <v>1</v>
      </c>
      <c r="G5" s="99">
        <v>976125</v>
      </c>
      <c r="H5" s="99">
        <f t="shared" ref="H5:H17" si="0">F5*G5</f>
        <v>976125</v>
      </c>
      <c r="I5" s="100"/>
      <c r="J5" s="42" t="s">
        <v>399</v>
      </c>
      <c r="K5" s="50" t="s">
        <v>46</v>
      </c>
      <c r="L5" s="43"/>
    </row>
    <row r="6" spans="1:12" s="312" customFormat="1" ht="25.25" customHeight="1" x14ac:dyDescent="0.35">
      <c r="A6" s="50">
        <v>3</v>
      </c>
      <c r="B6" s="50">
        <v>4511138370</v>
      </c>
      <c r="C6" s="62" t="s">
        <v>356</v>
      </c>
      <c r="D6" s="62">
        <v>0.83988425925925936</v>
      </c>
      <c r="E6" s="67" t="s">
        <v>579</v>
      </c>
      <c r="F6" s="50">
        <v>2</v>
      </c>
      <c r="G6" s="310">
        <v>420000</v>
      </c>
      <c r="H6" s="310">
        <f t="shared" si="0"/>
        <v>840000</v>
      </c>
      <c r="I6" s="111"/>
      <c r="J6" s="50" t="s">
        <v>65</v>
      </c>
      <c r="K6" s="50"/>
      <c r="L6" s="311"/>
    </row>
    <row r="7" spans="1:12" s="640" customFormat="1" ht="25.25" customHeight="1" x14ac:dyDescent="0.35">
      <c r="A7" s="107">
        <v>4</v>
      </c>
      <c r="B7" s="107">
        <v>4511138753</v>
      </c>
      <c r="C7" s="123">
        <v>0.29335648148148147</v>
      </c>
      <c r="D7" s="140">
        <v>0.71349537037037036</v>
      </c>
      <c r="E7" s="174" t="s">
        <v>609</v>
      </c>
      <c r="F7" s="107">
        <f>2-1</f>
        <v>1</v>
      </c>
      <c r="G7" s="638">
        <v>791990</v>
      </c>
      <c r="H7" s="638">
        <f t="shared" si="0"/>
        <v>791990</v>
      </c>
      <c r="I7" s="639"/>
      <c r="J7" s="107" t="s">
        <v>65</v>
      </c>
      <c r="K7" s="107" t="s">
        <v>46</v>
      </c>
      <c r="L7" s="323"/>
    </row>
    <row r="8" spans="1:12" s="640" customFormat="1" ht="25.25" customHeight="1" x14ac:dyDescent="0.35">
      <c r="A8" s="107">
        <v>5</v>
      </c>
      <c r="B8" s="107">
        <v>4511138795</v>
      </c>
      <c r="C8" s="123">
        <v>0.37668981481481478</v>
      </c>
      <c r="D8" s="140">
        <v>0.79613425925925929</v>
      </c>
      <c r="E8" s="174" t="s">
        <v>625</v>
      </c>
      <c r="F8" s="107">
        <v>1</v>
      </c>
      <c r="G8" s="638">
        <v>780500</v>
      </c>
      <c r="H8" s="638">
        <f t="shared" si="0"/>
        <v>780500</v>
      </c>
      <c r="I8" s="639"/>
      <c r="J8" s="323" t="s">
        <v>734</v>
      </c>
      <c r="K8" s="107" t="s">
        <v>46</v>
      </c>
      <c r="L8" s="323"/>
    </row>
    <row r="9" spans="1:12" s="104" customFormat="1" ht="25.25" customHeight="1" x14ac:dyDescent="0.35">
      <c r="A9" s="42"/>
      <c r="B9" s="42"/>
      <c r="C9" s="55"/>
      <c r="D9" s="55"/>
      <c r="E9" s="66" t="s">
        <v>626</v>
      </c>
      <c r="F9" s="42">
        <v>6</v>
      </c>
      <c r="G9" s="99">
        <v>29500</v>
      </c>
      <c r="H9" s="99">
        <f t="shared" si="0"/>
        <v>177000</v>
      </c>
      <c r="I9" s="100"/>
      <c r="J9" s="42" t="s">
        <v>54</v>
      </c>
      <c r="K9" s="42"/>
      <c r="L9" s="43"/>
    </row>
    <row r="10" spans="1:12" s="104" customFormat="1" ht="25.25" customHeight="1" x14ac:dyDescent="0.35">
      <c r="A10" s="42"/>
      <c r="B10" s="42"/>
      <c r="C10" s="55"/>
      <c r="D10" s="55"/>
      <c r="E10" s="66" t="s">
        <v>627</v>
      </c>
      <c r="F10" s="42">
        <v>6</v>
      </c>
      <c r="G10" s="99">
        <v>47500</v>
      </c>
      <c r="H10" s="99">
        <f t="shared" si="0"/>
        <v>285000</v>
      </c>
      <c r="I10" s="100"/>
      <c r="J10" s="42" t="s">
        <v>54</v>
      </c>
      <c r="K10" s="42"/>
      <c r="L10" s="43"/>
    </row>
    <row r="11" spans="1:12" s="312" customFormat="1" ht="25.25" customHeight="1" x14ac:dyDescent="0.35">
      <c r="A11" s="50">
        <v>6</v>
      </c>
      <c r="B11" s="50">
        <v>4511139823</v>
      </c>
      <c r="C11" s="62">
        <v>0.2107175925925926</v>
      </c>
      <c r="D11" s="62" t="s">
        <v>942</v>
      </c>
      <c r="E11" s="67" t="s">
        <v>503</v>
      </c>
      <c r="F11" s="50">
        <v>10</v>
      </c>
      <c r="G11" s="310">
        <v>40447.26</v>
      </c>
      <c r="H11" s="310">
        <f>F11*G11</f>
        <v>404472.60000000003</v>
      </c>
      <c r="I11" s="111"/>
      <c r="J11" s="50" t="s">
        <v>591</v>
      </c>
      <c r="K11" s="50" t="s">
        <v>46</v>
      </c>
      <c r="L11" s="311"/>
    </row>
    <row r="12" spans="1:12" s="312" customFormat="1" ht="25.25" customHeight="1" x14ac:dyDescent="0.35">
      <c r="A12" s="50"/>
      <c r="B12" s="50"/>
      <c r="C12" s="62"/>
      <c r="D12" s="62"/>
      <c r="E12" s="67" t="s">
        <v>504</v>
      </c>
      <c r="F12" s="50">
        <v>12</v>
      </c>
      <c r="G12" s="310">
        <v>44287.16</v>
      </c>
      <c r="H12" s="310">
        <f>F12*G12</f>
        <v>531445.92000000004</v>
      </c>
      <c r="I12" s="111"/>
      <c r="J12" s="50" t="s">
        <v>591</v>
      </c>
      <c r="K12" s="50"/>
      <c r="L12" s="311"/>
    </row>
    <row r="13" spans="1:12" s="312" customFormat="1" ht="25.25" customHeight="1" x14ac:dyDescent="0.35">
      <c r="A13" s="50">
        <v>7</v>
      </c>
      <c r="B13" s="50">
        <v>4511140104</v>
      </c>
      <c r="C13" s="62">
        <v>0.4607175925925926</v>
      </c>
      <c r="D13" s="62">
        <v>0.62807870370370367</v>
      </c>
      <c r="E13" s="67" t="s">
        <v>1203</v>
      </c>
      <c r="F13" s="50">
        <v>10</v>
      </c>
      <c r="G13" s="310">
        <v>6900</v>
      </c>
      <c r="H13" s="310">
        <f>F13*G13</f>
        <v>69000</v>
      </c>
      <c r="I13" s="111"/>
      <c r="J13" s="50" t="s">
        <v>905</v>
      </c>
      <c r="K13" s="50"/>
      <c r="L13" s="311"/>
    </row>
    <row r="14" spans="1:12" s="312" customFormat="1" ht="25.25" customHeight="1" x14ac:dyDescent="0.35">
      <c r="A14" s="50"/>
      <c r="B14" s="50"/>
      <c r="C14" s="62"/>
      <c r="D14" s="62"/>
      <c r="E14" s="67" t="s">
        <v>1204</v>
      </c>
      <c r="F14" s="50">
        <v>10</v>
      </c>
      <c r="G14" s="310">
        <v>5850</v>
      </c>
      <c r="H14" s="310">
        <f t="shared" si="0"/>
        <v>58500</v>
      </c>
      <c r="I14" s="111"/>
      <c r="J14" s="50" t="s">
        <v>905</v>
      </c>
      <c r="K14" s="50" t="s">
        <v>46</v>
      </c>
      <c r="L14" s="311"/>
    </row>
    <row r="15" spans="1:12" s="312" customFormat="1" ht="25.25" customHeight="1" x14ac:dyDescent="0.35">
      <c r="A15" s="50"/>
      <c r="B15" s="50"/>
      <c r="C15" s="62"/>
      <c r="D15" s="62"/>
      <c r="E15" s="67" t="s">
        <v>1205</v>
      </c>
      <c r="F15" s="50">
        <v>10</v>
      </c>
      <c r="G15" s="310">
        <v>2950</v>
      </c>
      <c r="H15" s="310">
        <f>F15*G15</f>
        <v>29500</v>
      </c>
      <c r="I15" s="111"/>
      <c r="J15" s="50" t="s">
        <v>905</v>
      </c>
      <c r="K15" s="50"/>
      <c r="L15" s="311"/>
    </row>
    <row r="16" spans="1:12" s="312" customFormat="1" ht="25.25" customHeight="1" x14ac:dyDescent="0.35">
      <c r="A16" s="50"/>
      <c r="B16" s="50"/>
      <c r="C16" s="62"/>
      <c r="D16" s="62"/>
      <c r="E16" s="67" t="s">
        <v>1206</v>
      </c>
      <c r="F16" s="50">
        <v>10</v>
      </c>
      <c r="G16" s="310">
        <v>3950</v>
      </c>
      <c r="H16" s="310">
        <f t="shared" si="0"/>
        <v>39500</v>
      </c>
      <c r="I16" s="111"/>
      <c r="J16" s="50" t="s">
        <v>905</v>
      </c>
      <c r="K16" s="50"/>
      <c r="L16" s="311"/>
    </row>
    <row r="17" spans="1:12" s="104" customFormat="1" ht="25.25" customHeight="1" x14ac:dyDescent="0.35">
      <c r="A17" s="42">
        <v>8</v>
      </c>
      <c r="B17" s="42">
        <v>4511140401</v>
      </c>
      <c r="C17" s="55">
        <v>0.66905092592592597</v>
      </c>
      <c r="D17" s="54" t="s">
        <v>930</v>
      </c>
      <c r="E17" s="66" t="s">
        <v>922</v>
      </c>
      <c r="F17" s="42">
        <v>6</v>
      </c>
      <c r="G17" s="99">
        <v>4675</v>
      </c>
      <c r="H17" s="99">
        <f t="shared" si="0"/>
        <v>28050</v>
      </c>
      <c r="I17" s="100"/>
      <c r="J17" s="42" t="s">
        <v>905</v>
      </c>
      <c r="K17" s="42" t="s">
        <v>46</v>
      </c>
      <c r="L17" s="43"/>
    </row>
    <row r="18" spans="1:12" s="104" customFormat="1" ht="25.25" customHeight="1" x14ac:dyDescent="0.35">
      <c r="A18" s="42"/>
      <c r="B18" s="42"/>
      <c r="C18" s="55"/>
      <c r="D18" s="55"/>
      <c r="E18" s="66" t="s">
        <v>923</v>
      </c>
      <c r="F18" s="42">
        <v>3</v>
      </c>
      <c r="G18" s="99">
        <v>4990</v>
      </c>
      <c r="H18" s="99">
        <f t="shared" ref="H18:H27" si="1">F18*G18</f>
        <v>14970</v>
      </c>
      <c r="I18" s="100"/>
      <c r="J18" s="42" t="s">
        <v>905</v>
      </c>
      <c r="K18" s="42" t="s">
        <v>46</v>
      </c>
      <c r="L18" s="43"/>
    </row>
    <row r="19" spans="1:12" s="104" customFormat="1" ht="25.25" customHeight="1" x14ac:dyDescent="0.35">
      <c r="A19" s="42"/>
      <c r="B19" s="42"/>
      <c r="C19" s="55"/>
      <c r="D19" s="54"/>
      <c r="E19" s="66" t="s">
        <v>925</v>
      </c>
      <c r="F19" s="42">
        <v>3</v>
      </c>
      <c r="G19" s="99">
        <v>5380</v>
      </c>
      <c r="H19" s="99">
        <f t="shared" si="1"/>
        <v>16140</v>
      </c>
      <c r="I19" s="100"/>
      <c r="J19" s="42" t="s">
        <v>905</v>
      </c>
      <c r="K19" s="42" t="s">
        <v>46</v>
      </c>
      <c r="L19" s="43"/>
    </row>
    <row r="20" spans="1:12" s="104" customFormat="1" ht="25.25" customHeight="1" x14ac:dyDescent="0.35">
      <c r="A20" s="42"/>
      <c r="B20" s="42"/>
      <c r="C20" s="55"/>
      <c r="D20" s="55"/>
      <c r="E20" s="66" t="s">
        <v>926</v>
      </c>
      <c r="F20" s="42">
        <v>6</v>
      </c>
      <c r="G20" s="99">
        <v>5520</v>
      </c>
      <c r="H20" s="99">
        <f t="shared" si="1"/>
        <v>33120</v>
      </c>
      <c r="I20" s="100"/>
      <c r="J20" s="42" t="s">
        <v>905</v>
      </c>
      <c r="K20" s="42" t="s">
        <v>46</v>
      </c>
      <c r="L20" s="43"/>
    </row>
    <row r="21" spans="1:12" s="104" customFormat="1" ht="25.25" customHeight="1" x14ac:dyDescent="0.35">
      <c r="A21" s="42"/>
      <c r="B21" s="42"/>
      <c r="C21" s="55"/>
      <c r="D21" s="55"/>
      <c r="E21" s="66" t="s">
        <v>929</v>
      </c>
      <c r="F21" s="42">
        <v>6</v>
      </c>
      <c r="G21" s="99">
        <v>8990</v>
      </c>
      <c r="H21" s="99">
        <f t="shared" si="1"/>
        <v>53940</v>
      </c>
      <c r="I21" s="100"/>
      <c r="J21" s="42" t="s">
        <v>905</v>
      </c>
      <c r="K21" s="42" t="s">
        <v>46</v>
      </c>
      <c r="L21" s="43"/>
    </row>
    <row r="22" spans="1:12" s="104" customFormat="1" ht="25.25" customHeight="1" x14ac:dyDescent="0.35">
      <c r="A22" s="42"/>
      <c r="B22" s="42"/>
      <c r="C22" s="55"/>
      <c r="D22" s="54"/>
      <c r="E22" s="66" t="s">
        <v>928</v>
      </c>
      <c r="F22" s="42">
        <v>6</v>
      </c>
      <c r="G22" s="99">
        <v>9550</v>
      </c>
      <c r="H22" s="99">
        <f t="shared" si="1"/>
        <v>57300</v>
      </c>
      <c r="I22" s="100"/>
      <c r="J22" s="42" t="s">
        <v>905</v>
      </c>
      <c r="K22" s="42" t="s">
        <v>46</v>
      </c>
      <c r="L22" s="43"/>
    </row>
    <row r="23" spans="1:12" s="104" customFormat="1" ht="25.25" customHeight="1" x14ac:dyDescent="0.35">
      <c r="A23" s="42"/>
      <c r="B23" s="42"/>
      <c r="C23" s="55"/>
      <c r="D23" s="55"/>
      <c r="E23" s="66" t="s">
        <v>927</v>
      </c>
      <c r="F23" s="42">
        <v>6</v>
      </c>
      <c r="G23" s="99">
        <v>5990</v>
      </c>
      <c r="H23" s="99">
        <f>F23*G23</f>
        <v>35940</v>
      </c>
      <c r="I23" s="100"/>
      <c r="J23" s="42" t="s">
        <v>905</v>
      </c>
      <c r="K23" s="42" t="s">
        <v>46</v>
      </c>
      <c r="L23" s="43"/>
    </row>
    <row r="24" spans="1:12" s="640" customFormat="1" ht="25.25" customHeight="1" x14ac:dyDescent="0.35">
      <c r="A24" s="107">
        <v>9</v>
      </c>
      <c r="B24" s="107">
        <v>4511140948</v>
      </c>
      <c r="C24" s="123" t="s">
        <v>179</v>
      </c>
      <c r="D24" s="123">
        <v>0.17252314814814815</v>
      </c>
      <c r="E24" s="174" t="s">
        <v>1172</v>
      </c>
      <c r="F24" s="107">
        <v>6</v>
      </c>
      <c r="G24" s="638">
        <v>1947.5</v>
      </c>
      <c r="H24" s="638">
        <f>F24*G24</f>
        <v>11685</v>
      </c>
      <c r="I24" s="639"/>
      <c r="J24" s="107" t="s">
        <v>1041</v>
      </c>
      <c r="K24" s="107" t="s">
        <v>46</v>
      </c>
      <c r="L24" s="323"/>
    </row>
    <row r="25" spans="1:12" s="312" customFormat="1" ht="30.65" customHeight="1" x14ac:dyDescent="0.35">
      <c r="A25" s="50">
        <v>10</v>
      </c>
      <c r="B25" s="50">
        <v>4511141280</v>
      </c>
      <c r="C25" s="62" t="s">
        <v>181</v>
      </c>
      <c r="D25" s="62">
        <v>0.21349537037037036</v>
      </c>
      <c r="E25" s="67" t="s">
        <v>1160</v>
      </c>
      <c r="F25" s="50">
        <v>1</v>
      </c>
      <c r="G25" s="581">
        <v>398750</v>
      </c>
      <c r="H25" s="581">
        <f>F25*G25</f>
        <v>398750</v>
      </c>
      <c r="I25" s="111"/>
      <c r="J25" s="50" t="s">
        <v>1161</v>
      </c>
      <c r="K25" s="50" t="s">
        <v>46</v>
      </c>
      <c r="L25" s="311"/>
    </row>
    <row r="26" spans="1:12" s="312" customFormat="1" ht="25.25" customHeight="1" x14ac:dyDescent="0.35">
      <c r="A26" s="50"/>
      <c r="B26" s="50"/>
      <c r="C26" s="62"/>
      <c r="D26" s="62"/>
      <c r="E26" s="67" t="s">
        <v>1159</v>
      </c>
      <c r="F26" s="50">
        <v>1</v>
      </c>
      <c r="G26" s="581">
        <v>292500</v>
      </c>
      <c r="H26" s="581">
        <f>F26*G26</f>
        <v>292500</v>
      </c>
      <c r="I26" s="111"/>
      <c r="J26" s="50" t="s">
        <v>1161</v>
      </c>
      <c r="K26" s="50" t="s">
        <v>46</v>
      </c>
      <c r="L26" s="311"/>
    </row>
    <row r="27" spans="1:12" s="649" customFormat="1" ht="25.25" customHeight="1" x14ac:dyDescent="0.35">
      <c r="A27" s="57">
        <v>11</v>
      </c>
      <c r="B27" s="57">
        <v>4511141473</v>
      </c>
      <c r="C27" s="127">
        <v>0.16974537037037038</v>
      </c>
      <c r="D27" s="127">
        <v>0.58849537037037036</v>
      </c>
      <c r="E27" s="68" t="s">
        <v>1208</v>
      </c>
      <c r="F27" s="57">
        <v>40</v>
      </c>
      <c r="G27" s="647">
        <v>4650</v>
      </c>
      <c r="H27" s="647">
        <f t="shared" si="1"/>
        <v>186000</v>
      </c>
      <c r="I27" s="648"/>
      <c r="J27" s="57" t="s">
        <v>1209</v>
      </c>
      <c r="K27" s="57" t="s">
        <v>46</v>
      </c>
      <c r="L27" s="646"/>
    </row>
    <row r="28" spans="1:12" s="60" customFormat="1" x14ac:dyDescent="0.35">
      <c r="A28" s="57"/>
      <c r="B28" s="57"/>
      <c r="C28" s="57"/>
      <c r="D28" s="57"/>
      <c r="E28" s="58"/>
      <c r="F28" s="57"/>
      <c r="G28" s="467" t="s">
        <v>12</v>
      </c>
      <c r="H28" s="467">
        <f>SUM(H4:H27)</f>
        <v>6245270.3199999994</v>
      </c>
      <c r="I28" s="57"/>
      <c r="J28" s="57"/>
      <c r="K28" s="57"/>
      <c r="L28" s="57"/>
    </row>
    <row r="29" spans="1:12" s="84" customFormat="1" ht="18.5" x14ac:dyDescent="0.35">
      <c r="A29" s="701" t="s">
        <v>29</v>
      </c>
      <c r="B29" s="702"/>
      <c r="C29" s="85"/>
      <c r="D29" s="85"/>
      <c r="E29" s="86"/>
      <c r="F29" s="85"/>
      <c r="G29" s="87"/>
      <c r="H29" s="87"/>
      <c r="I29" s="85"/>
      <c r="J29" s="88"/>
      <c r="K29" s="89"/>
      <c r="L29" s="83"/>
    </row>
    <row r="30" spans="1:12" s="53" customFormat="1" ht="29.4" customHeight="1" x14ac:dyDescent="0.35">
      <c r="A30" s="42">
        <v>1</v>
      </c>
      <c r="B30" s="42">
        <v>4561155858</v>
      </c>
      <c r="C30" s="61" t="s">
        <v>61</v>
      </c>
      <c r="D30" s="61" t="s">
        <v>60</v>
      </c>
      <c r="E30" s="66" t="s">
        <v>56</v>
      </c>
      <c r="F30" s="42">
        <f>6-5</f>
        <v>1</v>
      </c>
      <c r="G30" s="56">
        <v>9780</v>
      </c>
      <c r="H30" s="56">
        <f t="shared" ref="H30:H42" si="2">G30*F30</f>
        <v>9780</v>
      </c>
      <c r="I30" s="42"/>
      <c r="J30" s="42" t="s">
        <v>42</v>
      </c>
      <c r="K30" s="42" t="s">
        <v>46</v>
      </c>
      <c r="L30" s="42"/>
    </row>
    <row r="31" spans="1:12" s="53" customFormat="1" ht="29" x14ac:dyDescent="0.35">
      <c r="A31" s="42">
        <v>2</v>
      </c>
      <c r="B31" s="42">
        <v>4561162021</v>
      </c>
      <c r="C31" s="98" t="s">
        <v>71</v>
      </c>
      <c r="D31" s="55">
        <v>0.33987268518518521</v>
      </c>
      <c r="E31" s="66" t="s">
        <v>72</v>
      </c>
      <c r="F31" s="42">
        <f>2-1</f>
        <v>1</v>
      </c>
      <c r="G31" s="56">
        <v>14376.07</v>
      </c>
      <c r="H31" s="56">
        <f t="shared" si="2"/>
        <v>14376.07</v>
      </c>
      <c r="I31" s="42"/>
      <c r="J31" s="30" t="s">
        <v>65</v>
      </c>
      <c r="K31" s="42" t="s">
        <v>46</v>
      </c>
      <c r="L31" s="159"/>
    </row>
    <row r="32" spans="1:12" s="53" customFormat="1" ht="23" customHeight="1" x14ac:dyDescent="0.35">
      <c r="A32" s="42">
        <v>3</v>
      </c>
      <c r="B32" s="42">
        <v>4561169833</v>
      </c>
      <c r="C32" s="98">
        <v>45905</v>
      </c>
      <c r="D32" s="55">
        <v>0.63362268518518516</v>
      </c>
      <c r="E32" s="66" t="s">
        <v>114</v>
      </c>
      <c r="F32" s="42">
        <f>12-9</f>
        <v>3</v>
      </c>
      <c r="G32" s="56">
        <v>8556.6</v>
      </c>
      <c r="H32" s="56">
        <f>G32*F32</f>
        <v>25669.800000000003</v>
      </c>
      <c r="I32" s="42"/>
      <c r="J32" s="42" t="s">
        <v>81</v>
      </c>
      <c r="K32" s="42" t="s">
        <v>46</v>
      </c>
      <c r="L32" s="42"/>
    </row>
    <row r="33" spans="1:12" s="109" customFormat="1" ht="23" customHeight="1" x14ac:dyDescent="0.35">
      <c r="A33" s="107">
        <v>4</v>
      </c>
      <c r="B33" s="107">
        <v>4561179119</v>
      </c>
      <c r="C33" s="644">
        <v>46039</v>
      </c>
      <c r="D33" s="123" t="s">
        <v>477</v>
      </c>
      <c r="E33" s="415" t="s">
        <v>371</v>
      </c>
      <c r="F33" s="107">
        <v>4</v>
      </c>
      <c r="G33" s="108">
        <v>5150</v>
      </c>
      <c r="H33" s="108">
        <f>G33*F33</f>
        <v>20600</v>
      </c>
      <c r="I33" s="107"/>
      <c r="J33" s="107" t="s">
        <v>65</v>
      </c>
      <c r="K33" s="107" t="s">
        <v>46</v>
      </c>
      <c r="L33" s="107"/>
    </row>
    <row r="34" spans="1:12" s="53" customFormat="1" ht="24.65" customHeight="1" x14ac:dyDescent="0.35">
      <c r="A34" s="42">
        <v>5</v>
      </c>
      <c r="B34" s="42">
        <v>4561185580</v>
      </c>
      <c r="C34" s="98" t="s">
        <v>1158</v>
      </c>
      <c r="D34" s="55">
        <v>0.29752314814814812</v>
      </c>
      <c r="E34" s="152" t="s">
        <v>1155</v>
      </c>
      <c r="F34" s="157">
        <v>600</v>
      </c>
      <c r="G34" s="56">
        <v>830</v>
      </c>
      <c r="H34" s="56">
        <f t="shared" ref="H34" si="3">G34*F34</f>
        <v>498000</v>
      </c>
      <c r="I34" s="42"/>
      <c r="J34" s="42" t="s">
        <v>35</v>
      </c>
      <c r="K34" s="42" t="s">
        <v>46</v>
      </c>
      <c r="L34" s="42"/>
    </row>
    <row r="35" spans="1:12" s="53" customFormat="1" ht="23" customHeight="1" x14ac:dyDescent="0.35">
      <c r="A35" s="42"/>
      <c r="B35" s="42"/>
      <c r="C35" s="98"/>
      <c r="D35" s="55"/>
      <c r="E35" s="152" t="s">
        <v>1154</v>
      </c>
      <c r="F35" s="157">
        <v>100</v>
      </c>
      <c r="G35" s="56">
        <v>648</v>
      </c>
      <c r="H35" s="56">
        <f>G35*F35</f>
        <v>64800</v>
      </c>
      <c r="I35" s="42"/>
      <c r="J35" s="42" t="s">
        <v>35</v>
      </c>
      <c r="K35" s="42" t="s">
        <v>46</v>
      </c>
      <c r="L35" s="42"/>
    </row>
    <row r="36" spans="1:12" s="53" customFormat="1" ht="23" customHeight="1" x14ac:dyDescent="0.35">
      <c r="A36" s="42"/>
      <c r="B36" s="42"/>
      <c r="C36" s="98"/>
      <c r="D36" s="55"/>
      <c r="E36" s="152" t="s">
        <v>1153</v>
      </c>
      <c r="F36" s="157">
        <v>300</v>
      </c>
      <c r="G36" s="56">
        <v>629</v>
      </c>
      <c r="H36" s="56">
        <f>G36*F36</f>
        <v>188700</v>
      </c>
      <c r="I36" s="42"/>
      <c r="J36" s="42" t="s">
        <v>35</v>
      </c>
      <c r="K36" s="42" t="s">
        <v>46</v>
      </c>
      <c r="L36" s="42"/>
    </row>
    <row r="37" spans="1:12" s="53" customFormat="1" ht="26.4" customHeight="1" x14ac:dyDescent="0.35">
      <c r="A37" s="42">
        <v>7</v>
      </c>
      <c r="B37" s="42">
        <v>4561184762</v>
      </c>
      <c r="C37" s="98" t="s">
        <v>1210</v>
      </c>
      <c r="D37" s="55" t="s">
        <v>1211</v>
      </c>
      <c r="E37" s="152" t="s">
        <v>1212</v>
      </c>
      <c r="F37" s="157">
        <v>3</v>
      </c>
      <c r="G37" s="56">
        <v>26793.200000000001</v>
      </c>
      <c r="H37" s="56">
        <f t="shared" ref="H37" si="4">G37*F37</f>
        <v>80379.600000000006</v>
      </c>
      <c r="I37" s="42"/>
      <c r="J37" s="42" t="s">
        <v>65</v>
      </c>
      <c r="K37" s="42" t="s">
        <v>46</v>
      </c>
      <c r="L37" s="42"/>
    </row>
    <row r="38" spans="1:12" s="60" customFormat="1" ht="24.65" customHeight="1" x14ac:dyDescent="0.35">
      <c r="A38" s="57">
        <v>8</v>
      </c>
      <c r="B38" s="57">
        <v>4561182570</v>
      </c>
      <c r="C38" s="666" t="s">
        <v>737</v>
      </c>
      <c r="D38" s="127">
        <v>0.42182870370370368</v>
      </c>
      <c r="E38" s="223" t="s">
        <v>1218</v>
      </c>
      <c r="F38" s="667">
        <v>1</v>
      </c>
      <c r="G38" s="59">
        <v>7560</v>
      </c>
      <c r="H38" s="59">
        <f t="shared" si="2"/>
        <v>7560</v>
      </c>
      <c r="I38" s="57"/>
      <c r="J38" s="57" t="s">
        <v>65</v>
      </c>
      <c r="K38" s="57" t="s">
        <v>46</v>
      </c>
      <c r="L38" s="57"/>
    </row>
    <row r="39" spans="1:12" s="60" customFormat="1" ht="23" customHeight="1" x14ac:dyDescent="0.35">
      <c r="A39" s="57"/>
      <c r="B39" s="57"/>
      <c r="C39" s="666"/>
      <c r="D39" s="127"/>
      <c r="E39" s="223" t="s">
        <v>1216</v>
      </c>
      <c r="F39" s="667">
        <v>1</v>
      </c>
      <c r="G39" s="59">
        <v>38740</v>
      </c>
      <c r="H39" s="59">
        <f>G39*F39</f>
        <v>38740</v>
      </c>
      <c r="I39" s="57"/>
      <c r="J39" s="57" t="s">
        <v>65</v>
      </c>
      <c r="K39" s="57" t="s">
        <v>46</v>
      </c>
      <c r="L39" s="57"/>
    </row>
    <row r="40" spans="1:12" s="60" customFormat="1" ht="23" customHeight="1" x14ac:dyDescent="0.35">
      <c r="A40" s="57"/>
      <c r="B40" s="57"/>
      <c r="C40" s="666"/>
      <c r="D40" s="127"/>
      <c r="E40" s="223" t="s">
        <v>1217</v>
      </c>
      <c r="F40" s="667">
        <v>1</v>
      </c>
      <c r="G40" s="59">
        <v>82370</v>
      </c>
      <c r="H40" s="59">
        <f>G40*F40</f>
        <v>82370</v>
      </c>
      <c r="I40" s="57"/>
      <c r="J40" s="57" t="s">
        <v>65</v>
      </c>
      <c r="K40" s="57" t="s">
        <v>46</v>
      </c>
      <c r="L40" s="57"/>
    </row>
    <row r="41" spans="1:12" s="60" customFormat="1" ht="23" customHeight="1" x14ac:dyDescent="0.35">
      <c r="A41" s="57"/>
      <c r="B41" s="57"/>
      <c r="C41" s="666"/>
      <c r="D41" s="127"/>
      <c r="E41" s="223" t="s">
        <v>1218</v>
      </c>
      <c r="F41" s="667">
        <v>2</v>
      </c>
      <c r="G41" s="59">
        <v>7560</v>
      </c>
      <c r="H41" s="59">
        <f>G41*F41</f>
        <v>15120</v>
      </c>
      <c r="I41" s="57"/>
      <c r="J41" s="57" t="s">
        <v>65</v>
      </c>
      <c r="K41" s="57" t="s">
        <v>46</v>
      </c>
      <c r="L41" s="57"/>
    </row>
    <row r="42" spans="1:12" s="60" customFormat="1" ht="26.4" customHeight="1" x14ac:dyDescent="0.35">
      <c r="A42" s="57"/>
      <c r="B42" s="57"/>
      <c r="C42" s="666"/>
      <c r="D42" s="127"/>
      <c r="E42" s="223" t="s">
        <v>1218</v>
      </c>
      <c r="F42" s="667">
        <v>2</v>
      </c>
      <c r="G42" s="59">
        <v>7560</v>
      </c>
      <c r="H42" s="59">
        <f t="shared" si="2"/>
        <v>15120</v>
      </c>
      <c r="I42" s="57"/>
      <c r="J42" s="57" t="s">
        <v>65</v>
      </c>
      <c r="K42" s="57" t="s">
        <v>46</v>
      </c>
      <c r="L42" s="57"/>
    </row>
    <row r="43" spans="1:12" s="60" customFormat="1" x14ac:dyDescent="0.35">
      <c r="A43" s="57"/>
      <c r="B43" s="57"/>
      <c r="C43" s="57"/>
      <c r="D43" s="57"/>
      <c r="E43" s="68"/>
      <c r="F43" s="57"/>
      <c r="G43" s="467" t="s">
        <v>12</v>
      </c>
      <c r="H43" s="467">
        <f>SUM(H30:H42)</f>
        <v>1061215.47</v>
      </c>
      <c r="I43" s="57"/>
      <c r="J43" s="57"/>
      <c r="K43" s="57"/>
      <c r="L43" s="57"/>
    </row>
    <row r="44" spans="1:12" s="84" customFormat="1" ht="18.5" x14ac:dyDescent="0.35">
      <c r="A44" s="703" t="s">
        <v>62</v>
      </c>
      <c r="B44" s="704"/>
      <c r="C44" s="90"/>
      <c r="D44" s="90"/>
      <c r="E44" s="91"/>
      <c r="F44" s="90"/>
      <c r="G44" s="92"/>
      <c r="H44" s="92"/>
      <c r="I44" s="90"/>
      <c r="J44" s="93"/>
      <c r="K44" s="94"/>
    </row>
    <row r="45" spans="1:12" s="53" customFormat="1" ht="27.65" customHeight="1" x14ac:dyDescent="0.35">
      <c r="A45" s="43">
        <v>1</v>
      </c>
      <c r="B45" s="43">
        <v>4561179571</v>
      </c>
      <c r="C45" s="101">
        <v>0.91766203703703697</v>
      </c>
      <c r="D45" s="102">
        <v>0.12946759259259258</v>
      </c>
      <c r="E45" s="51" t="s">
        <v>468</v>
      </c>
      <c r="F45" s="43">
        <v>2</v>
      </c>
      <c r="G45" s="52">
        <v>89938.52</v>
      </c>
      <c r="H45" s="56">
        <f>G45*F45</f>
        <v>179877.04</v>
      </c>
      <c r="I45" s="43"/>
      <c r="J45" s="42" t="s">
        <v>54</v>
      </c>
      <c r="K45" s="124"/>
      <c r="L45" s="242"/>
    </row>
    <row r="46" spans="1:12" s="104" customFormat="1" ht="27.65" customHeight="1" x14ac:dyDescent="0.35">
      <c r="A46" s="42"/>
      <c r="B46" s="42"/>
      <c r="C46" s="55"/>
      <c r="D46" s="55"/>
      <c r="E46" s="51" t="s">
        <v>469</v>
      </c>
      <c r="F46" s="42">
        <v>2</v>
      </c>
      <c r="G46" s="99">
        <v>44307.76</v>
      </c>
      <c r="H46" s="99">
        <f>F46*G46</f>
        <v>88615.52</v>
      </c>
      <c r="I46" s="100"/>
      <c r="J46" s="42" t="s">
        <v>54</v>
      </c>
      <c r="K46" s="42"/>
      <c r="L46" s="42"/>
    </row>
    <row r="47" spans="1:12" s="104" customFormat="1" ht="27.65" customHeight="1" x14ac:dyDescent="0.35">
      <c r="A47" s="42">
        <v>2</v>
      </c>
      <c r="B47" s="42">
        <v>4561184085</v>
      </c>
      <c r="C47" s="55">
        <v>0.7107175925925926</v>
      </c>
      <c r="D47" s="55">
        <v>1.2551620370370371</v>
      </c>
      <c r="E47" s="51" t="s">
        <v>931</v>
      </c>
      <c r="F47" s="42">
        <v>1</v>
      </c>
      <c r="G47" s="99">
        <v>80201.149999999994</v>
      </c>
      <c r="H47" s="99">
        <f>F47*G47</f>
        <v>80201.149999999994</v>
      </c>
      <c r="I47" s="100"/>
      <c r="J47" s="42" t="s">
        <v>933</v>
      </c>
      <c r="K47" s="42"/>
      <c r="L47" s="42"/>
    </row>
    <row r="48" spans="1:12" s="104" customFormat="1" ht="27.65" customHeight="1" x14ac:dyDescent="0.35">
      <c r="A48" s="42">
        <v>3</v>
      </c>
      <c r="B48" s="42">
        <v>4561184975</v>
      </c>
      <c r="C48" s="55" t="s">
        <v>179</v>
      </c>
      <c r="D48" s="55" t="s">
        <v>950</v>
      </c>
      <c r="E48" s="51" t="s">
        <v>1003</v>
      </c>
      <c r="F48" s="42">
        <v>20</v>
      </c>
      <c r="G48" s="99">
        <v>7466.62</v>
      </c>
      <c r="H48" s="99">
        <f>F48*G48</f>
        <v>149332.4</v>
      </c>
      <c r="I48" s="100"/>
      <c r="J48" s="42" t="s">
        <v>921</v>
      </c>
      <c r="K48" s="42"/>
      <c r="L48" s="42"/>
    </row>
    <row r="49" spans="1:12" s="65" customFormat="1" ht="20.25" customHeight="1" x14ac:dyDescent="0.35">
      <c r="A49" s="64"/>
      <c r="B49" s="64"/>
      <c r="C49" s="64"/>
      <c r="D49" s="64"/>
      <c r="E49" s="69"/>
      <c r="F49" s="64"/>
      <c r="G49" s="467" t="s">
        <v>12</v>
      </c>
      <c r="H49" s="467">
        <f>SUM(H45:H48)</f>
        <v>498026.11</v>
      </c>
      <c r="I49" s="64"/>
      <c r="J49" s="64"/>
      <c r="K49" s="64"/>
    </row>
    <row r="50" spans="1:12" s="96" customFormat="1" ht="18.5" x14ac:dyDescent="0.35">
      <c r="A50" s="699" t="s">
        <v>37</v>
      </c>
      <c r="B50" s="693"/>
      <c r="C50" s="693"/>
      <c r="D50" s="693"/>
      <c r="E50" s="693"/>
      <c r="F50" s="693"/>
      <c r="G50" s="693"/>
      <c r="H50" s="693"/>
      <c r="I50" s="693"/>
      <c r="J50" s="700"/>
      <c r="K50" s="95"/>
      <c r="L50" s="95"/>
    </row>
    <row r="51" spans="1:12" s="104" customFormat="1" ht="24.65" customHeight="1" x14ac:dyDescent="0.35">
      <c r="A51" s="42">
        <v>1</v>
      </c>
      <c r="B51" s="74">
        <v>6100083849</v>
      </c>
      <c r="C51" s="55" t="s">
        <v>104</v>
      </c>
      <c r="D51" s="55" t="s">
        <v>109</v>
      </c>
      <c r="E51" s="66" t="s">
        <v>110</v>
      </c>
      <c r="F51" s="42">
        <f>2-1</f>
        <v>1</v>
      </c>
      <c r="G51" s="99">
        <v>68768</v>
      </c>
      <c r="H51" s="99">
        <f>F51*G51</f>
        <v>68768</v>
      </c>
      <c r="J51" s="42" t="s">
        <v>21</v>
      </c>
      <c r="K51" s="42"/>
      <c r="L51" s="43"/>
    </row>
    <row r="52" spans="1:12" s="147" customFormat="1" ht="24.65" customHeight="1" x14ac:dyDescent="0.35">
      <c r="A52" s="142">
        <v>2</v>
      </c>
      <c r="B52" s="143" t="s">
        <v>381</v>
      </c>
      <c r="C52" s="144" t="s">
        <v>357</v>
      </c>
      <c r="D52" s="144">
        <v>0.33710648148148148</v>
      </c>
      <c r="E52" s="145" t="s">
        <v>382</v>
      </c>
      <c r="F52" s="142">
        <v>10</v>
      </c>
      <c r="G52" s="146">
        <v>709.5</v>
      </c>
      <c r="H52" s="146">
        <f>F52*G52</f>
        <v>7095</v>
      </c>
      <c r="J52" s="142" t="s">
        <v>21</v>
      </c>
      <c r="K52" s="142" t="s">
        <v>24</v>
      </c>
      <c r="L52" s="148" t="s">
        <v>58</v>
      </c>
    </row>
    <row r="53" spans="1:12" s="147" customFormat="1" ht="24.65" customHeight="1" x14ac:dyDescent="0.35">
      <c r="A53" s="142">
        <v>3</v>
      </c>
      <c r="B53" s="143">
        <v>6100091424</v>
      </c>
      <c r="C53" s="144" t="s">
        <v>1000</v>
      </c>
      <c r="D53" s="144">
        <v>0.33710648148148148</v>
      </c>
      <c r="E53" s="145" t="s">
        <v>1009</v>
      </c>
      <c r="F53" s="142">
        <v>1</v>
      </c>
      <c r="G53" s="146">
        <v>133425</v>
      </c>
      <c r="H53" s="146">
        <f>F53*G53</f>
        <v>133425</v>
      </c>
      <c r="J53" s="142" t="s">
        <v>35</v>
      </c>
      <c r="K53" s="142" t="s">
        <v>24</v>
      </c>
      <c r="L53" s="148" t="s">
        <v>58</v>
      </c>
    </row>
    <row r="54" spans="1:12" x14ac:dyDescent="0.35">
      <c r="A54" s="50"/>
      <c r="B54" s="50"/>
      <c r="C54" s="50"/>
      <c r="D54" s="50"/>
      <c r="E54" s="67"/>
      <c r="F54" s="50"/>
      <c r="G54" s="73" t="s">
        <v>12</v>
      </c>
      <c r="H54" s="73">
        <f>SUM(H51:H53)</f>
        <v>209288</v>
      </c>
      <c r="J54" s="50"/>
      <c r="K54" s="50"/>
      <c r="L54" s="50"/>
    </row>
    <row r="55" spans="1:12" s="97" customFormat="1" ht="18.5" x14ac:dyDescent="0.35">
      <c r="A55" s="705" t="s">
        <v>20</v>
      </c>
      <c r="B55" s="705"/>
      <c r="C55" s="705"/>
      <c r="D55" s="220"/>
      <c r="E55" s="221"/>
      <c r="F55" s="220"/>
      <c r="G55" s="222"/>
      <c r="H55" s="222"/>
      <c r="I55" s="220"/>
      <c r="J55" s="220"/>
      <c r="K55" s="220"/>
    </row>
    <row r="56" spans="1:12" s="109" customFormat="1" ht="22.25" customHeight="1" x14ac:dyDescent="0.35">
      <c r="A56" s="107">
        <v>1</v>
      </c>
      <c r="B56" s="174" t="s">
        <v>352</v>
      </c>
      <c r="C56" s="123" t="s">
        <v>116</v>
      </c>
      <c r="D56" s="140">
        <v>1.0461342592592593</v>
      </c>
      <c r="E56" s="415" t="s">
        <v>353</v>
      </c>
      <c r="F56" s="107">
        <v>2</v>
      </c>
      <c r="G56" s="108">
        <v>155000</v>
      </c>
      <c r="H56" s="108">
        <f>F56*G56</f>
        <v>310000</v>
      </c>
      <c r="I56" s="107"/>
      <c r="J56" s="107" t="s">
        <v>65</v>
      </c>
      <c r="K56" s="107"/>
      <c r="L56" s="107"/>
    </row>
    <row r="57" spans="1:12" s="53" customFormat="1" ht="31.25" customHeight="1" x14ac:dyDescent="0.35">
      <c r="A57" s="42">
        <v>2</v>
      </c>
      <c r="B57" s="66" t="s">
        <v>998</v>
      </c>
      <c r="C57" s="55" t="s">
        <v>766</v>
      </c>
      <c r="D57" s="54" t="s">
        <v>767</v>
      </c>
      <c r="E57" s="71" t="s">
        <v>768</v>
      </c>
      <c r="F57" s="42">
        <v>72</v>
      </c>
      <c r="G57" s="56">
        <v>44465.25</v>
      </c>
      <c r="H57" s="56">
        <f>F57*G57</f>
        <v>3201498</v>
      </c>
      <c r="I57" s="42"/>
      <c r="J57" s="42" t="s">
        <v>591</v>
      </c>
      <c r="K57" s="42"/>
      <c r="L57" s="30"/>
    </row>
    <row r="58" spans="1:12" s="70" customFormat="1" x14ac:dyDescent="0.35">
      <c r="A58" s="239"/>
      <c r="B58" s="240"/>
      <c r="C58" s="240"/>
      <c r="D58" s="240"/>
      <c r="E58" s="241"/>
      <c r="F58" s="63"/>
      <c r="G58" s="464" t="s">
        <v>10</v>
      </c>
      <c r="H58" s="465">
        <f>SUM(H56:H57)</f>
        <v>3511498</v>
      </c>
      <c r="I58" s="63"/>
      <c r="J58" s="76"/>
      <c r="K58" s="30"/>
      <c r="L58" s="31"/>
    </row>
    <row r="59" spans="1:12" s="84" customFormat="1" ht="18.5" x14ac:dyDescent="0.35">
      <c r="A59" s="690" t="s">
        <v>55</v>
      </c>
      <c r="B59" s="691"/>
      <c r="C59" s="691"/>
      <c r="D59" s="691"/>
      <c r="E59" s="691"/>
      <c r="F59" s="691"/>
      <c r="G59" s="691"/>
      <c r="H59" s="691"/>
      <c r="I59" s="691"/>
      <c r="J59" s="691"/>
      <c r="K59" s="691"/>
    </row>
    <row r="60" spans="1:12" s="53" customFormat="1" ht="19.5" customHeight="1" x14ac:dyDescent="0.35">
      <c r="A60" s="42">
        <v>1</v>
      </c>
      <c r="B60" s="42" t="s">
        <v>150</v>
      </c>
      <c r="C60" s="55" t="s">
        <v>97</v>
      </c>
      <c r="D60" s="55">
        <v>0.41974537037037035</v>
      </c>
      <c r="E60" s="71" t="s">
        <v>148</v>
      </c>
      <c r="F60" s="74">
        <v>1</v>
      </c>
      <c r="G60" s="56">
        <v>51340.85</v>
      </c>
      <c r="H60" s="56">
        <f>F60*G60</f>
        <v>51340.85</v>
      </c>
      <c r="I60" s="42"/>
      <c r="J60" s="42" t="s">
        <v>91</v>
      </c>
      <c r="K60" s="42"/>
      <c r="L60" s="42"/>
    </row>
    <row r="61" spans="1:12" x14ac:dyDescent="0.35">
      <c r="A61" s="42"/>
      <c r="B61" s="50"/>
      <c r="C61" s="50"/>
      <c r="D61" s="50"/>
      <c r="E61" s="67"/>
      <c r="F61" s="50"/>
      <c r="G61" s="73" t="s">
        <v>12</v>
      </c>
      <c r="H61" s="73">
        <f>SUM(H60:H60)</f>
        <v>51340.85</v>
      </c>
      <c r="I61" s="57"/>
      <c r="J61" s="57"/>
      <c r="K61" s="50"/>
      <c r="L61" s="50"/>
    </row>
    <row r="62" spans="1:12" s="692" customFormat="1" ht="18.5" x14ac:dyDescent="0.35">
      <c r="A62" s="692" t="s">
        <v>96</v>
      </c>
    </row>
    <row r="63" spans="1:12" s="109" customFormat="1" ht="25.25" customHeight="1" x14ac:dyDescent="0.35">
      <c r="A63" s="107">
        <v>1</v>
      </c>
      <c r="B63" s="107" t="s">
        <v>199</v>
      </c>
      <c r="C63" s="123">
        <v>0.34195601851851848</v>
      </c>
      <c r="D63" s="123">
        <v>0.75238425925925922</v>
      </c>
      <c r="E63" s="502" t="s">
        <v>200</v>
      </c>
      <c r="F63" s="107">
        <v>1</v>
      </c>
      <c r="G63" s="108">
        <v>68000</v>
      </c>
      <c r="H63" s="108">
        <f t="shared" ref="H63:H71" si="5">F63*G63</f>
        <v>68000</v>
      </c>
      <c r="I63" s="107"/>
      <c r="J63" s="107" t="s">
        <v>66</v>
      </c>
      <c r="K63" s="107"/>
      <c r="L63" s="107"/>
    </row>
    <row r="64" spans="1:12" s="109" customFormat="1" ht="25.25" customHeight="1" x14ac:dyDescent="0.35">
      <c r="A64" s="107">
        <v>2</v>
      </c>
      <c r="B64" s="107" t="s">
        <v>633</v>
      </c>
      <c r="C64" s="123">
        <v>0.50168981481481478</v>
      </c>
      <c r="D64" s="123">
        <v>0.42252314814814818</v>
      </c>
      <c r="E64" s="502" t="s">
        <v>635</v>
      </c>
      <c r="F64" s="107">
        <f>5-2</f>
        <v>3</v>
      </c>
      <c r="G64" s="108">
        <v>19529</v>
      </c>
      <c r="H64" s="108">
        <f t="shared" si="5"/>
        <v>58587</v>
      </c>
      <c r="I64" s="107"/>
      <c r="J64" s="107" t="s">
        <v>27</v>
      </c>
      <c r="K64" s="107"/>
      <c r="L64" s="107"/>
    </row>
    <row r="65" spans="1:12" s="109" customFormat="1" ht="25.25" customHeight="1" x14ac:dyDescent="0.35">
      <c r="A65" s="107">
        <v>3</v>
      </c>
      <c r="B65" s="107" t="s">
        <v>634</v>
      </c>
      <c r="C65" s="123">
        <v>0.50168981481481478</v>
      </c>
      <c r="D65" s="123">
        <v>0.42252314814814818</v>
      </c>
      <c r="E65" s="502" t="s">
        <v>636</v>
      </c>
      <c r="F65" s="107">
        <f>5-2</f>
        <v>3</v>
      </c>
      <c r="G65" s="108">
        <v>30710</v>
      </c>
      <c r="H65" s="108">
        <f t="shared" si="5"/>
        <v>92130</v>
      </c>
      <c r="I65" s="107"/>
      <c r="J65" s="107" t="s">
        <v>27</v>
      </c>
      <c r="K65" s="107"/>
      <c r="L65" s="107"/>
    </row>
    <row r="66" spans="1:12" s="53" customFormat="1" ht="25.25" customHeight="1" x14ac:dyDescent="0.35">
      <c r="A66" s="42">
        <v>4</v>
      </c>
      <c r="B66" s="42" t="s">
        <v>769</v>
      </c>
      <c r="C66" s="42" t="s">
        <v>766</v>
      </c>
      <c r="D66" s="42" t="s">
        <v>770</v>
      </c>
      <c r="E66" s="152" t="s">
        <v>772</v>
      </c>
      <c r="F66" s="42">
        <v>2</v>
      </c>
      <c r="G66" s="56">
        <v>499653</v>
      </c>
      <c r="H66" s="56">
        <f t="shared" si="5"/>
        <v>999306</v>
      </c>
      <c r="I66" s="42"/>
      <c r="J66" s="42" t="s">
        <v>771</v>
      </c>
      <c r="K66" s="42"/>
      <c r="L66" s="42"/>
    </row>
    <row r="67" spans="1:12" s="60" customFormat="1" ht="25.25" customHeight="1" x14ac:dyDescent="0.35">
      <c r="A67" s="57">
        <v>5</v>
      </c>
      <c r="B67" s="57" t="s">
        <v>710</v>
      </c>
      <c r="C67" s="127" t="s">
        <v>711</v>
      </c>
      <c r="D67" s="127">
        <v>0.41836805555555556</v>
      </c>
      <c r="E67" s="223" t="s">
        <v>712</v>
      </c>
      <c r="F67" s="57">
        <v>1</v>
      </c>
      <c r="G67" s="59">
        <v>99230</v>
      </c>
      <c r="H67" s="59">
        <f t="shared" si="5"/>
        <v>99230</v>
      </c>
      <c r="I67" s="57"/>
      <c r="J67" s="57" t="s">
        <v>98</v>
      </c>
      <c r="K67" s="57"/>
      <c r="L67" s="57"/>
    </row>
    <row r="68" spans="1:12" s="457" customFormat="1" ht="25.25" customHeight="1" x14ac:dyDescent="0.35">
      <c r="A68" s="50">
        <v>6</v>
      </c>
      <c r="B68" s="50" t="s">
        <v>775</v>
      </c>
      <c r="C68" s="62" t="s">
        <v>766</v>
      </c>
      <c r="D68" s="62" t="s">
        <v>774</v>
      </c>
      <c r="E68" s="466" t="s">
        <v>100</v>
      </c>
      <c r="F68" s="50">
        <v>1</v>
      </c>
      <c r="G68" s="138">
        <v>823112.73</v>
      </c>
      <c r="H68" s="138">
        <f t="shared" si="5"/>
        <v>823112.73</v>
      </c>
      <c r="I68" s="50"/>
      <c r="J68" s="50" t="s">
        <v>35</v>
      </c>
      <c r="K68" s="306"/>
      <c r="L68" s="306"/>
    </row>
    <row r="69" spans="1:12" s="457" customFormat="1" ht="25.25" customHeight="1" x14ac:dyDescent="0.35">
      <c r="A69" s="50"/>
      <c r="B69" s="50"/>
      <c r="C69" s="62"/>
      <c r="D69" s="62"/>
      <c r="E69" s="466" t="s">
        <v>101</v>
      </c>
      <c r="F69" s="50">
        <v>1</v>
      </c>
      <c r="G69" s="138">
        <v>448886.79</v>
      </c>
      <c r="H69" s="138">
        <f t="shared" si="5"/>
        <v>448886.79</v>
      </c>
      <c r="I69" s="50"/>
      <c r="J69" s="50" t="s">
        <v>35</v>
      </c>
      <c r="K69" s="306"/>
      <c r="L69" s="306"/>
    </row>
    <row r="70" spans="1:12" s="457" customFormat="1" ht="25.25" customHeight="1" x14ac:dyDescent="0.35">
      <c r="A70" s="50">
        <v>7</v>
      </c>
      <c r="B70" s="50" t="s">
        <v>773</v>
      </c>
      <c r="C70" s="62" t="s">
        <v>766</v>
      </c>
      <c r="D70" s="62" t="s">
        <v>774</v>
      </c>
      <c r="E70" s="466" t="s">
        <v>760</v>
      </c>
      <c r="F70" s="50">
        <v>500</v>
      </c>
      <c r="G70" s="138">
        <v>4737.1499999999996</v>
      </c>
      <c r="H70" s="138">
        <f t="shared" si="5"/>
        <v>2368575</v>
      </c>
      <c r="I70" s="50"/>
      <c r="J70" s="50" t="s">
        <v>35</v>
      </c>
      <c r="K70" s="306"/>
      <c r="L70" s="306"/>
    </row>
    <row r="71" spans="1:12" s="457" customFormat="1" ht="25.25" customHeight="1" x14ac:dyDescent="0.35">
      <c r="A71" s="50"/>
      <c r="B71" s="50"/>
      <c r="C71" s="62"/>
      <c r="D71" s="62"/>
      <c r="E71" s="466" t="s">
        <v>102</v>
      </c>
      <c r="F71" s="50">
        <v>100</v>
      </c>
      <c r="G71" s="138">
        <v>5438.07</v>
      </c>
      <c r="H71" s="138">
        <f t="shared" si="5"/>
        <v>543807</v>
      </c>
      <c r="I71" s="50"/>
      <c r="J71" s="50" t="s">
        <v>35</v>
      </c>
      <c r="K71" s="306"/>
      <c r="L71" s="306"/>
    </row>
    <row r="72" spans="1:12" s="53" customFormat="1" x14ac:dyDescent="0.35">
      <c r="A72" s="42"/>
      <c r="B72" s="42"/>
      <c r="C72" s="42"/>
      <c r="D72" s="42"/>
      <c r="E72" s="66"/>
      <c r="F72" s="42"/>
      <c r="G72" s="73" t="s">
        <v>12</v>
      </c>
      <c r="H72" s="73">
        <f>SUM(H63:H71)</f>
        <v>5501634.5199999996</v>
      </c>
      <c r="I72" s="42"/>
      <c r="J72" s="42"/>
      <c r="K72" s="42"/>
      <c r="L72" s="42"/>
    </row>
    <row r="73" spans="1:12" s="106" customFormat="1" ht="18.75" customHeight="1" x14ac:dyDescent="0.35">
      <c r="A73" s="693" t="s">
        <v>111</v>
      </c>
      <c r="B73" s="693"/>
    </row>
    <row r="74" spans="1:12" s="53" customFormat="1" ht="18" customHeight="1" x14ac:dyDescent="0.35">
      <c r="A74" s="42">
        <v>1</v>
      </c>
      <c r="B74" s="42" t="s">
        <v>120</v>
      </c>
      <c r="C74" s="55">
        <v>0.17390046296296294</v>
      </c>
      <c r="D74" s="61" t="s">
        <v>121</v>
      </c>
      <c r="E74" s="66" t="s">
        <v>122</v>
      </c>
      <c r="F74" s="42">
        <v>2</v>
      </c>
      <c r="G74" s="56">
        <v>27249.3</v>
      </c>
      <c r="H74" s="56">
        <f>F74*G74</f>
        <v>54498.6</v>
      </c>
      <c r="I74" s="42"/>
      <c r="J74" s="42" t="s">
        <v>124</v>
      </c>
      <c r="K74" s="42"/>
      <c r="L74" s="42"/>
    </row>
    <row r="75" spans="1:12" s="53" customFormat="1" ht="18" customHeight="1" x14ac:dyDescent="0.35">
      <c r="A75" s="42"/>
      <c r="B75" s="42"/>
      <c r="C75" s="55"/>
      <c r="D75" s="61"/>
      <c r="E75" s="66" t="s">
        <v>123</v>
      </c>
      <c r="F75" s="42">
        <v>4</v>
      </c>
      <c r="G75" s="56">
        <v>27249.3</v>
      </c>
      <c r="H75" s="56">
        <f>F75*G75</f>
        <v>108997.2</v>
      </c>
      <c r="I75" s="42"/>
      <c r="J75" s="42" t="s">
        <v>124</v>
      </c>
      <c r="K75" s="42"/>
      <c r="L75" s="42"/>
    </row>
    <row r="76" spans="1:12" ht="14" customHeight="1" x14ac:dyDescent="0.35">
      <c r="G76" s="467" t="s">
        <v>12</v>
      </c>
      <c r="H76" s="467">
        <f>SUM(H74:H75)</f>
        <v>163495.79999999999</v>
      </c>
    </row>
    <row r="77" spans="1:12" s="106" customFormat="1" ht="18.75" customHeight="1" x14ac:dyDescent="0.35">
      <c r="A77" s="693" t="s">
        <v>112</v>
      </c>
      <c r="B77" s="693"/>
    </row>
    <row r="78" spans="1:12" s="53" customFormat="1" ht="24.75" customHeight="1" x14ac:dyDescent="0.35">
      <c r="A78" s="42">
        <v>1</v>
      </c>
      <c r="B78" s="42">
        <v>1100012262</v>
      </c>
      <c r="C78" s="55">
        <v>0.75653935185185184</v>
      </c>
      <c r="D78" s="55">
        <v>0.63292824074074072</v>
      </c>
      <c r="E78" s="152" t="s">
        <v>117</v>
      </c>
      <c r="F78" s="42">
        <v>2</v>
      </c>
      <c r="G78" s="56">
        <v>2450</v>
      </c>
      <c r="H78" s="56">
        <f>F78*G78</f>
        <v>4900</v>
      </c>
      <c r="I78" s="42"/>
      <c r="J78" s="42" t="s">
        <v>42</v>
      </c>
      <c r="K78" s="42"/>
      <c r="L78" s="42"/>
    </row>
    <row r="79" spans="1:12" x14ac:dyDescent="0.35">
      <c r="G79" s="467" t="s">
        <v>12</v>
      </c>
      <c r="H79" s="467">
        <f>SUM(H78:H78)</f>
        <v>4900</v>
      </c>
    </row>
    <row r="80" spans="1:12" s="692" customFormat="1" ht="18.5" x14ac:dyDescent="0.35">
      <c r="A80" s="692" t="s">
        <v>128</v>
      </c>
    </row>
    <row r="81" spans="1:12" s="109" customFormat="1" ht="24.75" customHeight="1" x14ac:dyDescent="0.35">
      <c r="A81" s="107">
        <v>1</v>
      </c>
      <c r="B81" s="107" t="s">
        <v>129</v>
      </c>
      <c r="C81" s="123">
        <v>0.75723379629629628</v>
      </c>
      <c r="D81" s="140"/>
      <c r="E81" s="174" t="s">
        <v>130</v>
      </c>
      <c r="F81" s="107">
        <v>1</v>
      </c>
      <c r="G81" s="108">
        <v>1109.4000000000001</v>
      </c>
      <c r="H81" s="108">
        <f t="shared" ref="H81:H90" si="6">F81*G81</f>
        <v>1109.4000000000001</v>
      </c>
      <c r="I81" s="107"/>
      <c r="J81" s="107" t="s">
        <v>21</v>
      </c>
      <c r="K81" s="694" t="s">
        <v>151</v>
      </c>
      <c r="L81" s="107" t="s">
        <v>152</v>
      </c>
    </row>
    <row r="82" spans="1:12" s="109" customFormat="1" ht="24.75" customHeight="1" x14ac:dyDescent="0.35">
      <c r="A82" s="107"/>
      <c r="B82" s="107"/>
      <c r="C82" s="123"/>
      <c r="D82" s="140"/>
      <c r="E82" s="174" t="s">
        <v>131</v>
      </c>
      <c r="F82" s="107">
        <v>6</v>
      </c>
      <c r="G82" s="108">
        <v>3921.6</v>
      </c>
      <c r="H82" s="108">
        <f t="shared" si="6"/>
        <v>23529.599999999999</v>
      </c>
      <c r="I82" s="107"/>
      <c r="J82" s="107" t="s">
        <v>21</v>
      </c>
      <c r="K82" s="695"/>
      <c r="L82" s="107"/>
    </row>
    <row r="83" spans="1:12" s="109" customFormat="1" ht="24.75" customHeight="1" x14ac:dyDescent="0.35">
      <c r="A83" s="107"/>
      <c r="B83" s="107"/>
      <c r="C83" s="123"/>
      <c r="D83" s="140"/>
      <c r="E83" s="174" t="s">
        <v>132</v>
      </c>
      <c r="F83" s="107">
        <v>2</v>
      </c>
      <c r="G83" s="108">
        <v>10932.75</v>
      </c>
      <c r="H83" s="108">
        <f t="shared" si="6"/>
        <v>21865.5</v>
      </c>
      <c r="I83" s="107"/>
      <c r="J83" s="107" t="s">
        <v>21</v>
      </c>
      <c r="K83" s="695"/>
      <c r="L83" s="107"/>
    </row>
    <row r="84" spans="1:12" s="109" customFormat="1" ht="24.75" customHeight="1" x14ac:dyDescent="0.35">
      <c r="A84" s="107"/>
      <c r="B84" s="107"/>
      <c r="C84" s="123"/>
      <c r="D84" s="140"/>
      <c r="E84" s="174" t="s">
        <v>133</v>
      </c>
      <c r="F84" s="107">
        <v>2</v>
      </c>
      <c r="G84" s="108">
        <v>6708</v>
      </c>
      <c r="H84" s="108">
        <f t="shared" si="6"/>
        <v>13416</v>
      </c>
      <c r="I84" s="107"/>
      <c r="J84" s="107" t="s">
        <v>21</v>
      </c>
      <c r="K84" s="695"/>
      <c r="L84" s="107"/>
    </row>
    <row r="85" spans="1:12" s="109" customFormat="1" ht="29" x14ac:dyDescent="0.35">
      <c r="A85" s="107"/>
      <c r="B85" s="107"/>
      <c r="C85" s="123"/>
      <c r="D85" s="140"/>
      <c r="E85" s="174" t="s">
        <v>134</v>
      </c>
      <c r="F85" s="107">
        <v>2</v>
      </c>
      <c r="G85" s="108">
        <v>638.54999999999995</v>
      </c>
      <c r="H85" s="108">
        <f t="shared" si="6"/>
        <v>1277.0999999999999</v>
      </c>
      <c r="I85" s="107"/>
      <c r="J85" s="107" t="s">
        <v>21</v>
      </c>
      <c r="K85" s="695"/>
      <c r="L85" s="107" t="s">
        <v>153</v>
      </c>
    </row>
    <row r="86" spans="1:12" s="109" customFormat="1" ht="24.75" customHeight="1" x14ac:dyDescent="0.35">
      <c r="A86" s="107"/>
      <c r="B86" s="107"/>
      <c r="C86" s="123"/>
      <c r="D86" s="140"/>
      <c r="E86" s="174" t="s">
        <v>132</v>
      </c>
      <c r="F86" s="107">
        <v>2</v>
      </c>
      <c r="G86" s="108">
        <v>10932.75</v>
      </c>
      <c r="H86" s="108">
        <f t="shared" si="6"/>
        <v>21865.5</v>
      </c>
      <c r="I86" s="107"/>
      <c r="J86" s="107" t="s">
        <v>21</v>
      </c>
      <c r="K86" s="695"/>
      <c r="L86" s="107"/>
    </row>
    <row r="87" spans="1:12" s="109" customFormat="1" ht="24.75" customHeight="1" x14ac:dyDescent="0.35">
      <c r="A87" s="107"/>
      <c r="B87" s="107"/>
      <c r="C87" s="123"/>
      <c r="D87" s="140"/>
      <c r="E87" s="174" t="s">
        <v>133</v>
      </c>
      <c r="F87" s="107">
        <v>2</v>
      </c>
      <c r="G87" s="108">
        <v>6708</v>
      </c>
      <c r="H87" s="108">
        <f t="shared" si="6"/>
        <v>13416</v>
      </c>
      <c r="I87" s="107"/>
      <c r="J87" s="107" t="s">
        <v>21</v>
      </c>
      <c r="K87" s="695"/>
      <c r="L87" s="107"/>
    </row>
    <row r="88" spans="1:12" s="109" customFormat="1" ht="29" x14ac:dyDescent="0.35">
      <c r="A88" s="107"/>
      <c r="B88" s="107"/>
      <c r="C88" s="123"/>
      <c r="D88" s="140"/>
      <c r="E88" s="174" t="s">
        <v>134</v>
      </c>
      <c r="F88" s="107">
        <v>4</v>
      </c>
      <c r="G88" s="108">
        <v>638.54999999999995</v>
      </c>
      <c r="H88" s="108">
        <f t="shared" si="6"/>
        <v>2554.1999999999998</v>
      </c>
      <c r="I88" s="107"/>
      <c r="J88" s="107" t="s">
        <v>21</v>
      </c>
      <c r="K88" s="695"/>
      <c r="L88" s="107" t="s">
        <v>154</v>
      </c>
    </row>
    <row r="89" spans="1:12" s="109" customFormat="1" ht="24.75" customHeight="1" x14ac:dyDescent="0.35">
      <c r="A89" s="107"/>
      <c r="B89" s="107"/>
      <c r="C89" s="123"/>
      <c r="D89" s="140"/>
      <c r="E89" s="174" t="s">
        <v>135</v>
      </c>
      <c r="F89" s="107">
        <v>10</v>
      </c>
      <c r="G89" s="108">
        <v>3844.2</v>
      </c>
      <c r="H89" s="108">
        <f t="shared" si="6"/>
        <v>38442</v>
      </c>
      <c r="I89" s="107"/>
      <c r="J89" s="107" t="s">
        <v>21</v>
      </c>
      <c r="K89" s="695"/>
      <c r="L89" s="107"/>
    </row>
    <row r="90" spans="1:12" s="53" customFormat="1" ht="24.75" customHeight="1" x14ac:dyDescent="0.35">
      <c r="A90" s="42"/>
      <c r="B90" s="42"/>
      <c r="C90" s="55"/>
      <c r="D90" s="54"/>
      <c r="E90" s="66" t="s">
        <v>136</v>
      </c>
      <c r="F90" s="42">
        <v>1</v>
      </c>
      <c r="G90" s="56">
        <v>317176.5</v>
      </c>
      <c r="H90" s="56">
        <f t="shared" si="6"/>
        <v>317176.5</v>
      </c>
      <c r="I90" s="42"/>
      <c r="J90" s="42" t="s">
        <v>21</v>
      </c>
      <c r="K90" s="696"/>
      <c r="L90" s="42"/>
    </row>
    <row r="91" spans="1:12" s="53" customFormat="1" x14ac:dyDescent="0.35">
      <c r="A91" s="42"/>
      <c r="B91" s="42"/>
      <c r="C91" s="42"/>
      <c r="D91" s="42"/>
      <c r="E91" s="66"/>
      <c r="F91" s="42"/>
      <c r="G91" s="73" t="s">
        <v>12</v>
      </c>
      <c r="H91" s="73">
        <f>SUM(H81:H90)</f>
        <v>454651.8</v>
      </c>
      <c r="I91" s="42"/>
      <c r="J91" s="42"/>
      <c r="K91" s="42"/>
      <c r="L91" s="42"/>
    </row>
    <row r="92" spans="1:12" s="692" customFormat="1" ht="18.5" x14ac:dyDescent="0.35">
      <c r="A92" s="692" t="s">
        <v>137</v>
      </c>
    </row>
    <row r="93" spans="1:12" s="301" customFormat="1" ht="24.75" customHeight="1" x14ac:dyDescent="0.35">
      <c r="A93" s="299">
        <v>1</v>
      </c>
      <c r="B93" s="299">
        <v>4500016880</v>
      </c>
      <c r="C93" s="354">
        <v>0.71556712962962965</v>
      </c>
      <c r="D93" s="355" t="s">
        <v>138</v>
      </c>
      <c r="E93" s="234" t="s">
        <v>139</v>
      </c>
      <c r="F93" s="299">
        <f>40-20</f>
        <v>20</v>
      </c>
      <c r="G93" s="300">
        <v>10800</v>
      </c>
      <c r="H93" s="300">
        <f t="shared" ref="H93:H100" si="7">F93*G93</f>
        <v>216000</v>
      </c>
      <c r="I93" s="299"/>
      <c r="J93" s="299" t="s">
        <v>66</v>
      </c>
      <c r="K93" s="397"/>
      <c r="L93" s="299"/>
    </row>
    <row r="94" spans="1:12" s="53" customFormat="1" ht="24.75" customHeight="1" x14ac:dyDescent="0.35">
      <c r="A94" s="42">
        <v>2</v>
      </c>
      <c r="B94" s="42" t="s">
        <v>1207</v>
      </c>
      <c r="C94" s="55" t="s">
        <v>453</v>
      </c>
      <c r="D94" s="54">
        <v>1.2537731481481482</v>
      </c>
      <c r="E94" s="66" t="s">
        <v>562</v>
      </c>
      <c r="F94" s="42">
        <v>10</v>
      </c>
      <c r="G94" s="56">
        <v>3206.4</v>
      </c>
      <c r="H94" s="56">
        <f t="shared" si="7"/>
        <v>32064</v>
      </c>
      <c r="I94" s="42"/>
      <c r="J94" s="42" t="s">
        <v>27</v>
      </c>
      <c r="K94" s="43"/>
      <c r="L94" s="42"/>
    </row>
    <row r="95" spans="1:12" s="53" customFormat="1" ht="24.75" customHeight="1" x14ac:dyDescent="0.35">
      <c r="A95" s="42"/>
      <c r="B95" s="42"/>
      <c r="C95" s="55"/>
      <c r="D95" s="54"/>
      <c r="E95" s="66" t="s">
        <v>563</v>
      </c>
      <c r="F95" s="42">
        <v>10</v>
      </c>
      <c r="G95" s="56">
        <v>2592.67</v>
      </c>
      <c r="H95" s="56">
        <f t="shared" si="7"/>
        <v>25926.7</v>
      </c>
      <c r="I95" s="42"/>
      <c r="J95" s="42" t="s">
        <v>27</v>
      </c>
      <c r="K95" s="43"/>
      <c r="L95" s="42"/>
    </row>
    <row r="96" spans="1:12" s="53" customFormat="1" ht="24.75" customHeight="1" x14ac:dyDescent="0.35">
      <c r="A96" s="42"/>
      <c r="B96" s="42"/>
      <c r="C96" s="55"/>
      <c r="D96" s="54"/>
      <c r="E96" s="152" t="s">
        <v>564</v>
      </c>
      <c r="F96" s="42">
        <v>10</v>
      </c>
      <c r="G96" s="56">
        <v>7504.98</v>
      </c>
      <c r="H96" s="56">
        <f>F96*G96</f>
        <v>75049.799999999988</v>
      </c>
      <c r="I96" s="42"/>
      <c r="J96" s="42" t="s">
        <v>27</v>
      </c>
      <c r="K96" s="43"/>
      <c r="L96" s="42"/>
    </row>
    <row r="97" spans="1:12" s="53" customFormat="1" ht="24.75" customHeight="1" x14ac:dyDescent="0.35">
      <c r="A97" s="42"/>
      <c r="B97" s="42"/>
      <c r="C97" s="55"/>
      <c r="D97" s="54"/>
      <c r="E97" s="152" t="s">
        <v>565</v>
      </c>
      <c r="F97" s="42">
        <v>10</v>
      </c>
      <c r="G97" s="56">
        <v>914.32</v>
      </c>
      <c r="H97" s="56">
        <f>F97*G97</f>
        <v>9143.2000000000007</v>
      </c>
      <c r="I97" s="42"/>
      <c r="J97" s="42" t="s">
        <v>27</v>
      </c>
      <c r="K97" s="43"/>
      <c r="L97" s="42"/>
    </row>
    <row r="98" spans="1:12" s="53" customFormat="1" ht="24.75" customHeight="1" x14ac:dyDescent="0.35">
      <c r="A98" s="42">
        <v>4</v>
      </c>
      <c r="B98" s="42">
        <v>4500017254</v>
      </c>
      <c r="C98" s="55" t="s">
        <v>737</v>
      </c>
      <c r="D98" s="54" t="s">
        <v>331</v>
      </c>
      <c r="E98" s="152" t="s">
        <v>776</v>
      </c>
      <c r="F98" s="42">
        <v>2</v>
      </c>
      <c r="G98" s="56">
        <v>63000</v>
      </c>
      <c r="H98" s="56">
        <f t="shared" si="7"/>
        <v>126000</v>
      </c>
      <c r="I98" s="42"/>
      <c r="J98" s="42" t="s">
        <v>27</v>
      </c>
      <c r="K98" s="43"/>
      <c r="L98" s="42"/>
    </row>
    <row r="99" spans="1:12" s="53" customFormat="1" ht="24.75" customHeight="1" x14ac:dyDescent="0.35">
      <c r="A99" s="42"/>
      <c r="B99" s="42"/>
      <c r="C99" s="55"/>
      <c r="D99" s="54"/>
      <c r="E99" s="152" t="s">
        <v>777</v>
      </c>
      <c r="F99" s="42">
        <v>4</v>
      </c>
      <c r="G99" s="56">
        <v>6800</v>
      </c>
      <c r="H99" s="56">
        <f>F99*G99</f>
        <v>27200</v>
      </c>
      <c r="I99" s="42"/>
      <c r="J99" s="42" t="s">
        <v>27</v>
      </c>
      <c r="K99" s="43"/>
      <c r="L99" s="42"/>
    </row>
    <row r="100" spans="1:12" s="53" customFormat="1" ht="24.75" customHeight="1" x14ac:dyDescent="0.35">
      <c r="A100" s="42"/>
      <c r="B100" s="42"/>
      <c r="C100" s="55"/>
      <c r="D100" s="54"/>
      <c r="E100" s="152" t="s">
        <v>837</v>
      </c>
      <c r="F100" s="42">
        <v>2</v>
      </c>
      <c r="G100" s="56">
        <v>11000</v>
      </c>
      <c r="H100" s="56">
        <f t="shared" si="7"/>
        <v>22000</v>
      </c>
      <c r="I100" s="42"/>
      <c r="J100" s="42" t="s">
        <v>27</v>
      </c>
      <c r="K100" s="43"/>
      <c r="L100" s="42"/>
    </row>
    <row r="101" spans="1:12" s="53" customFormat="1" x14ac:dyDescent="0.35">
      <c r="A101" s="42"/>
      <c r="B101" s="42"/>
      <c r="C101" s="42"/>
      <c r="D101" s="42"/>
      <c r="E101" s="66"/>
      <c r="F101" s="42"/>
      <c r="G101" s="73" t="s">
        <v>12</v>
      </c>
      <c r="H101" s="73">
        <f>SUM(H93:H100)</f>
        <v>533383.69999999995</v>
      </c>
      <c r="I101" s="42"/>
      <c r="J101" s="42"/>
      <c r="K101" s="42"/>
      <c r="L101" s="42"/>
    </row>
    <row r="102" spans="1:12" s="692" customFormat="1" ht="18.5" x14ac:dyDescent="0.35">
      <c r="A102" s="692" t="s">
        <v>156</v>
      </c>
    </row>
    <row r="103" spans="1:12" s="70" customFormat="1" ht="20.399999999999999" customHeight="1" x14ac:dyDescent="0.35">
      <c r="A103" s="114">
        <v>1</v>
      </c>
      <c r="B103" s="115" t="s">
        <v>701</v>
      </c>
      <c r="C103" s="115">
        <v>0.96002314814814815</v>
      </c>
      <c r="D103" s="203" t="s">
        <v>30</v>
      </c>
      <c r="E103" s="420" t="s">
        <v>700</v>
      </c>
      <c r="F103" s="421">
        <v>1</v>
      </c>
      <c r="G103" s="155">
        <v>8748</v>
      </c>
      <c r="H103" s="155">
        <f>F103*G103</f>
        <v>8748</v>
      </c>
      <c r="I103" s="114"/>
      <c r="J103" s="114" t="s">
        <v>21</v>
      </c>
      <c r="K103" s="114"/>
      <c r="L103" s="114"/>
    </row>
    <row r="104" spans="1:12" x14ac:dyDescent="0.35">
      <c r="A104" s="42"/>
      <c r="B104" s="50"/>
      <c r="C104" s="50"/>
      <c r="D104" s="50"/>
      <c r="E104" s="67"/>
      <c r="F104" s="50"/>
      <c r="G104" s="73" t="s">
        <v>12</v>
      </c>
      <c r="H104" s="73">
        <f>SUM(H103:H103)</f>
        <v>8748</v>
      </c>
      <c r="I104" s="42"/>
      <c r="J104" s="42"/>
      <c r="K104" s="50"/>
      <c r="L104" s="50"/>
    </row>
    <row r="105" spans="1:12" s="692" customFormat="1" ht="18.5" x14ac:dyDescent="0.35">
      <c r="A105" s="692" t="s">
        <v>157</v>
      </c>
    </row>
    <row r="106" spans="1:12" s="53" customFormat="1" ht="21.65" customHeight="1" x14ac:dyDescent="0.35">
      <c r="A106" s="42">
        <v>1</v>
      </c>
      <c r="B106" s="42">
        <v>13512335817</v>
      </c>
      <c r="C106" s="55">
        <v>8.5023148148148153E-2</v>
      </c>
      <c r="D106" s="54" t="s">
        <v>577</v>
      </c>
      <c r="E106" s="66" t="s">
        <v>578</v>
      </c>
      <c r="F106" s="3">
        <v>2</v>
      </c>
      <c r="G106" s="56">
        <v>1370753.1</v>
      </c>
      <c r="H106" s="56">
        <f t="shared" ref="H106:H115" si="8">F106*G106</f>
        <v>2741506.2</v>
      </c>
      <c r="I106" s="42"/>
      <c r="J106" s="42" t="s">
        <v>27</v>
      </c>
      <c r="K106" s="43"/>
      <c r="L106" s="42"/>
    </row>
    <row r="107" spans="1:12" s="53" customFormat="1" ht="21.65" customHeight="1" x14ac:dyDescent="0.35">
      <c r="A107" s="42">
        <v>2</v>
      </c>
      <c r="B107" s="42">
        <v>13544013435</v>
      </c>
      <c r="C107" s="55">
        <v>8.5023148148148153E-2</v>
      </c>
      <c r="D107" s="55">
        <v>0.50377314814814811</v>
      </c>
      <c r="E107" s="66" t="s">
        <v>572</v>
      </c>
      <c r="F107" s="3">
        <v>4</v>
      </c>
      <c r="G107" s="56">
        <v>11300</v>
      </c>
      <c r="H107" s="56">
        <f t="shared" si="8"/>
        <v>45200</v>
      </c>
      <c r="I107" s="42"/>
      <c r="J107" s="42" t="s">
        <v>81</v>
      </c>
      <c r="K107" s="43"/>
      <c r="L107" s="42"/>
    </row>
    <row r="108" spans="1:12" s="53" customFormat="1" ht="21.65" customHeight="1" x14ac:dyDescent="0.35">
      <c r="A108" s="42"/>
      <c r="B108" s="42"/>
      <c r="C108" s="55"/>
      <c r="D108" s="54"/>
      <c r="E108" s="66" t="s">
        <v>570</v>
      </c>
      <c r="F108" s="3">
        <v>6</v>
      </c>
      <c r="G108" s="56">
        <v>5900</v>
      </c>
      <c r="H108" s="56">
        <f t="shared" si="8"/>
        <v>35400</v>
      </c>
      <c r="I108" s="42"/>
      <c r="J108" s="42" t="s">
        <v>81</v>
      </c>
      <c r="K108" s="43"/>
      <c r="L108" s="42"/>
    </row>
    <row r="109" spans="1:12" s="53" customFormat="1" ht="21.65" customHeight="1" x14ac:dyDescent="0.35">
      <c r="A109" s="42"/>
      <c r="B109" s="42"/>
      <c r="C109" s="55"/>
      <c r="D109" s="54"/>
      <c r="E109" s="66" t="s">
        <v>569</v>
      </c>
      <c r="F109" s="3">
        <v>8</v>
      </c>
      <c r="G109" s="56">
        <v>25800</v>
      </c>
      <c r="H109" s="56">
        <f t="shared" si="8"/>
        <v>206400</v>
      </c>
      <c r="I109" s="42"/>
      <c r="J109" s="42" t="s">
        <v>81</v>
      </c>
      <c r="K109" s="43"/>
      <c r="L109" s="42"/>
    </row>
    <row r="110" spans="1:12" s="53" customFormat="1" ht="21.65" customHeight="1" x14ac:dyDescent="0.35">
      <c r="A110" s="42"/>
      <c r="B110" s="42"/>
      <c r="C110" s="55"/>
      <c r="D110" s="54"/>
      <c r="E110" s="66" t="s">
        <v>571</v>
      </c>
      <c r="F110" s="3">
        <v>8</v>
      </c>
      <c r="G110" s="56">
        <v>15230</v>
      </c>
      <c r="H110" s="56">
        <f t="shared" si="8"/>
        <v>121840</v>
      </c>
      <c r="I110" s="42"/>
      <c r="J110" s="42" t="s">
        <v>81</v>
      </c>
      <c r="K110" s="43"/>
      <c r="L110" s="42"/>
    </row>
    <row r="111" spans="1:12" s="53" customFormat="1" ht="21.65" customHeight="1" x14ac:dyDescent="0.35">
      <c r="A111" s="42">
        <v>3</v>
      </c>
      <c r="B111" s="42">
        <v>13592324875</v>
      </c>
      <c r="C111" s="55">
        <v>0.75238425925925922</v>
      </c>
      <c r="D111" s="54">
        <v>0.75516203703703699</v>
      </c>
      <c r="E111" s="66" t="s">
        <v>885</v>
      </c>
      <c r="F111" s="3">
        <f>5-2</f>
        <v>3</v>
      </c>
      <c r="G111" s="56">
        <v>36950</v>
      </c>
      <c r="H111" s="56">
        <f t="shared" si="8"/>
        <v>110850</v>
      </c>
      <c r="I111" s="42"/>
      <c r="J111" s="42" t="s">
        <v>27</v>
      </c>
      <c r="K111" s="66"/>
      <c r="L111" s="42"/>
    </row>
    <row r="112" spans="1:12" s="53" customFormat="1" ht="21.65" customHeight="1" x14ac:dyDescent="0.35">
      <c r="A112" s="42"/>
      <c r="B112" s="42"/>
      <c r="C112" s="55"/>
      <c r="D112" s="55"/>
      <c r="E112" s="66" t="s">
        <v>884</v>
      </c>
      <c r="F112" s="3">
        <f>5-2</f>
        <v>3</v>
      </c>
      <c r="G112" s="56">
        <v>14847</v>
      </c>
      <c r="H112" s="56">
        <f t="shared" si="8"/>
        <v>44541</v>
      </c>
      <c r="I112" s="42"/>
      <c r="J112" s="42" t="s">
        <v>27</v>
      </c>
      <c r="K112" s="66"/>
      <c r="L112" s="42"/>
    </row>
    <row r="113" spans="1:12" s="53" customFormat="1" ht="21.65" customHeight="1" x14ac:dyDescent="0.35">
      <c r="A113" s="42"/>
      <c r="B113" s="42"/>
      <c r="C113" s="55"/>
      <c r="D113" s="54"/>
      <c r="E113" s="66" t="s">
        <v>932</v>
      </c>
      <c r="F113" s="3">
        <f>5-2</f>
        <v>3</v>
      </c>
      <c r="G113" s="56">
        <v>25607</v>
      </c>
      <c r="H113" s="56">
        <f t="shared" si="8"/>
        <v>76821</v>
      </c>
      <c r="I113" s="42"/>
      <c r="J113" s="42" t="s">
        <v>27</v>
      </c>
      <c r="K113" s="42"/>
      <c r="L113" s="42"/>
    </row>
    <row r="114" spans="1:12" s="53" customFormat="1" ht="21.65" customHeight="1" x14ac:dyDescent="0.35">
      <c r="A114" s="42"/>
      <c r="B114" s="42"/>
      <c r="C114" s="55"/>
      <c r="D114" s="54"/>
      <c r="E114" s="66" t="s">
        <v>886</v>
      </c>
      <c r="F114" s="3">
        <v>5</v>
      </c>
      <c r="G114" s="56">
        <v>52800</v>
      </c>
      <c r="H114" s="56">
        <f t="shared" si="8"/>
        <v>264000</v>
      </c>
      <c r="I114" s="42"/>
      <c r="J114" s="42" t="s">
        <v>27</v>
      </c>
      <c r="K114" s="42"/>
      <c r="L114" s="42"/>
    </row>
    <row r="115" spans="1:12" s="53" customFormat="1" ht="21.65" customHeight="1" x14ac:dyDescent="0.35">
      <c r="A115" s="42"/>
      <c r="B115" s="42"/>
      <c r="C115" s="55"/>
      <c r="D115" s="54"/>
      <c r="E115" s="66" t="s">
        <v>883</v>
      </c>
      <c r="F115" s="3">
        <v>5</v>
      </c>
      <c r="G115" s="56">
        <v>15281</v>
      </c>
      <c r="H115" s="56">
        <f t="shared" si="8"/>
        <v>76405</v>
      </c>
      <c r="I115" s="42"/>
      <c r="J115" s="42" t="s">
        <v>27</v>
      </c>
      <c r="K115" s="42"/>
      <c r="L115" s="42"/>
    </row>
    <row r="116" spans="1:12" s="53" customFormat="1" x14ac:dyDescent="0.35">
      <c r="A116" s="42"/>
      <c r="B116" s="42"/>
      <c r="C116" s="42"/>
      <c r="D116" s="42"/>
      <c r="E116" s="66"/>
      <c r="F116" s="42"/>
      <c r="G116" s="73" t="s">
        <v>12</v>
      </c>
      <c r="H116" s="73">
        <f>SUM(H106:H115)</f>
        <v>3722963.2</v>
      </c>
      <c r="I116" s="42"/>
      <c r="J116" s="42"/>
      <c r="K116" s="42"/>
      <c r="L116" s="42"/>
    </row>
    <row r="117" spans="1:12" s="692" customFormat="1" ht="18.649999999999999" customHeight="1" x14ac:dyDescent="0.35">
      <c r="A117" s="692" t="s">
        <v>260</v>
      </c>
    </row>
    <row r="118" spans="1:12" s="53" customFormat="1" ht="21.65" customHeight="1" x14ac:dyDescent="0.35">
      <c r="A118" s="42">
        <v>1</v>
      </c>
      <c r="B118" s="42" t="s">
        <v>967</v>
      </c>
      <c r="C118" s="55">
        <v>0.9607175925925926</v>
      </c>
      <c r="D118" s="54"/>
      <c r="E118" s="66" t="s">
        <v>969</v>
      </c>
      <c r="F118" s="3">
        <v>1</v>
      </c>
      <c r="G118" s="56">
        <v>3376.8</v>
      </c>
      <c r="H118" s="56">
        <f t="shared" ref="H118:H123" si="9">F118*G118</f>
        <v>3376.8</v>
      </c>
      <c r="I118" s="42"/>
      <c r="J118" s="42" t="s">
        <v>21</v>
      </c>
      <c r="K118" s="66"/>
      <c r="L118" s="42"/>
    </row>
    <row r="119" spans="1:12" s="53" customFormat="1" ht="21.65" customHeight="1" x14ac:dyDescent="0.35">
      <c r="A119" s="42"/>
      <c r="B119" s="42"/>
      <c r="C119" s="55"/>
      <c r="D119" s="55"/>
      <c r="E119" s="66" t="s">
        <v>968</v>
      </c>
      <c r="F119" s="3">
        <v>2</v>
      </c>
      <c r="G119" s="56">
        <v>2917.6</v>
      </c>
      <c r="H119" s="56">
        <f t="shared" si="9"/>
        <v>5835.2</v>
      </c>
      <c r="I119" s="42"/>
      <c r="J119" s="42" t="s">
        <v>21</v>
      </c>
      <c r="K119" s="66"/>
      <c r="L119" s="42"/>
    </row>
    <row r="120" spans="1:12" s="53" customFormat="1" ht="21.65" customHeight="1" x14ac:dyDescent="0.35">
      <c r="A120" s="42"/>
      <c r="B120" s="42"/>
      <c r="C120" s="55"/>
      <c r="D120" s="54"/>
      <c r="E120" s="163" t="s">
        <v>973</v>
      </c>
      <c r="F120" s="3">
        <v>2</v>
      </c>
      <c r="G120" s="56">
        <v>5348</v>
      </c>
      <c r="H120" s="56">
        <f t="shared" si="9"/>
        <v>10696</v>
      </c>
      <c r="I120" s="42"/>
      <c r="J120" s="42" t="s">
        <v>21</v>
      </c>
      <c r="K120" s="42"/>
      <c r="L120" s="42"/>
    </row>
    <row r="121" spans="1:12" s="53" customFormat="1" ht="21.65" customHeight="1" x14ac:dyDescent="0.35">
      <c r="A121" s="42"/>
      <c r="B121" s="42"/>
      <c r="C121" s="55"/>
      <c r="D121" s="54"/>
      <c r="E121" s="66" t="s">
        <v>972</v>
      </c>
      <c r="F121" s="3">
        <v>2</v>
      </c>
      <c r="G121" s="56">
        <v>722.4</v>
      </c>
      <c r="H121" s="56">
        <f t="shared" si="9"/>
        <v>1444.8</v>
      </c>
      <c r="I121" s="42"/>
      <c r="J121" s="42" t="s">
        <v>21</v>
      </c>
      <c r="K121" s="42"/>
      <c r="L121" s="42"/>
    </row>
    <row r="122" spans="1:12" s="53" customFormat="1" ht="21.65" customHeight="1" x14ac:dyDescent="0.35">
      <c r="A122" s="42"/>
      <c r="B122" s="42"/>
      <c r="C122" s="55"/>
      <c r="D122" s="54"/>
      <c r="E122" s="66" t="s">
        <v>971</v>
      </c>
      <c r="F122" s="3">
        <v>2</v>
      </c>
      <c r="G122" s="56">
        <v>11323.2</v>
      </c>
      <c r="H122" s="56">
        <f>F122*G122</f>
        <v>22646.400000000001</v>
      </c>
      <c r="I122" s="42"/>
      <c r="J122" s="42" t="s">
        <v>21</v>
      </c>
      <c r="K122" s="42"/>
      <c r="L122" s="42"/>
    </row>
    <row r="123" spans="1:12" s="53" customFormat="1" ht="21.65" customHeight="1" x14ac:dyDescent="0.35">
      <c r="A123" s="42"/>
      <c r="B123" s="42"/>
      <c r="C123" s="55"/>
      <c r="D123" s="54"/>
      <c r="E123" s="66" t="s">
        <v>970</v>
      </c>
      <c r="F123" s="3">
        <v>2</v>
      </c>
      <c r="G123" s="56">
        <v>12426.4</v>
      </c>
      <c r="H123" s="56">
        <f t="shared" si="9"/>
        <v>24852.799999999999</v>
      </c>
      <c r="I123" s="42"/>
      <c r="J123" s="42" t="s">
        <v>21</v>
      </c>
      <c r="K123" s="42"/>
      <c r="L123" s="42"/>
    </row>
    <row r="124" spans="1:12" s="53" customFormat="1" x14ac:dyDescent="0.35">
      <c r="A124" s="42"/>
      <c r="B124" s="42"/>
      <c r="C124" s="42"/>
      <c r="D124" s="42"/>
      <c r="E124" s="66"/>
      <c r="F124" s="42"/>
      <c r="G124" s="73" t="s">
        <v>12</v>
      </c>
      <c r="H124" s="73">
        <f>SUM(H118:H123)</f>
        <v>68852</v>
      </c>
      <c r="I124" s="42"/>
      <c r="J124" s="42"/>
      <c r="K124" s="42"/>
      <c r="L124" s="42"/>
    </row>
    <row r="125" spans="1:12" s="692" customFormat="1" ht="18.5" x14ac:dyDescent="0.35">
      <c r="A125" s="692" t="s">
        <v>384</v>
      </c>
    </row>
    <row r="126" spans="1:12" s="70" customFormat="1" ht="18" customHeight="1" x14ac:dyDescent="0.35">
      <c r="A126" s="114">
        <v>1</v>
      </c>
      <c r="B126" s="114" t="s">
        <v>385</v>
      </c>
      <c r="C126" s="115" t="s">
        <v>383</v>
      </c>
      <c r="D126" s="203"/>
      <c r="E126" s="201" t="s">
        <v>394</v>
      </c>
      <c r="F126" s="202">
        <v>1</v>
      </c>
      <c r="G126" s="155">
        <v>50630</v>
      </c>
      <c r="H126" s="155">
        <f t="shared" ref="H126:H132" si="10">F126*G126</f>
        <v>50630</v>
      </c>
      <c r="I126" s="114"/>
      <c r="J126" s="114" t="s">
        <v>21</v>
      </c>
      <c r="K126" s="114"/>
      <c r="L126" s="114"/>
    </row>
    <row r="127" spans="1:12" s="70" customFormat="1" ht="18.649999999999999" customHeight="1" x14ac:dyDescent="0.35">
      <c r="A127" s="114"/>
      <c r="B127" s="114"/>
      <c r="C127" s="115"/>
      <c r="D127" s="203"/>
      <c r="E127" s="324" t="s">
        <v>394</v>
      </c>
      <c r="F127" s="325">
        <v>1</v>
      </c>
      <c r="G127" s="155">
        <v>50630</v>
      </c>
      <c r="H127" s="155">
        <f t="shared" si="10"/>
        <v>50630</v>
      </c>
      <c r="I127" s="114"/>
      <c r="J127" s="114" t="s">
        <v>21</v>
      </c>
      <c r="K127" s="114"/>
      <c r="L127" s="114"/>
    </row>
    <row r="128" spans="1:12" s="53" customFormat="1" ht="18.649999999999999" customHeight="1" x14ac:dyDescent="0.35">
      <c r="A128" s="42">
        <v>2</v>
      </c>
      <c r="B128" s="42" t="s">
        <v>385</v>
      </c>
      <c r="C128" s="55">
        <v>0.1683564814814815</v>
      </c>
      <c r="D128" s="54"/>
      <c r="E128" s="324" t="s">
        <v>604</v>
      </c>
      <c r="F128" s="325">
        <v>1</v>
      </c>
      <c r="G128" s="327"/>
      <c r="H128" s="56">
        <f t="shared" si="10"/>
        <v>0</v>
      </c>
      <c r="I128" s="42"/>
      <c r="J128" s="42" t="s">
        <v>21</v>
      </c>
      <c r="K128" s="42"/>
      <c r="L128" s="42"/>
    </row>
    <row r="129" spans="1:12" s="53" customFormat="1" ht="18.649999999999999" customHeight="1" x14ac:dyDescent="0.35">
      <c r="A129" s="42"/>
      <c r="B129" s="42"/>
      <c r="C129" s="55"/>
      <c r="D129" s="54"/>
      <c r="E129" s="324" t="s">
        <v>603</v>
      </c>
      <c r="F129" s="325">
        <v>2</v>
      </c>
      <c r="G129" s="327"/>
      <c r="H129" s="56">
        <f t="shared" si="10"/>
        <v>0</v>
      </c>
      <c r="I129" s="42"/>
      <c r="J129" s="42" t="s">
        <v>21</v>
      </c>
      <c r="K129" s="42"/>
      <c r="L129" s="42"/>
    </row>
    <row r="130" spans="1:12" s="53" customFormat="1" ht="18.649999999999999" customHeight="1" x14ac:dyDescent="0.35">
      <c r="A130" s="42"/>
      <c r="B130" s="42"/>
      <c r="C130" s="55"/>
      <c r="D130" s="54"/>
      <c r="E130" s="324" t="s">
        <v>602</v>
      </c>
      <c r="F130" s="325">
        <v>2</v>
      </c>
      <c r="G130" s="327"/>
      <c r="H130" s="56">
        <f t="shared" si="10"/>
        <v>0</v>
      </c>
      <c r="I130" s="42"/>
      <c r="J130" s="42" t="s">
        <v>21</v>
      </c>
      <c r="K130" s="42"/>
      <c r="L130" s="42"/>
    </row>
    <row r="131" spans="1:12" s="53" customFormat="1" ht="18.649999999999999" customHeight="1" x14ac:dyDescent="0.35">
      <c r="A131" s="42"/>
      <c r="B131" s="42"/>
      <c r="C131" s="55"/>
      <c r="D131" s="54"/>
      <c r="E131" s="324" t="s">
        <v>600</v>
      </c>
      <c r="F131" s="325">
        <v>2</v>
      </c>
      <c r="G131" s="327"/>
      <c r="H131" s="56">
        <f t="shared" si="10"/>
        <v>0</v>
      </c>
      <c r="I131" s="42"/>
      <c r="J131" s="42" t="s">
        <v>21</v>
      </c>
      <c r="K131" s="42"/>
      <c r="L131" s="42"/>
    </row>
    <row r="132" spans="1:12" s="53" customFormat="1" ht="18" customHeight="1" x14ac:dyDescent="0.35">
      <c r="A132" s="42"/>
      <c r="B132" s="42"/>
      <c r="C132" s="55"/>
      <c r="D132" s="54"/>
      <c r="E132" s="169" t="s">
        <v>601</v>
      </c>
      <c r="F132" s="170">
        <v>2</v>
      </c>
      <c r="G132" s="56"/>
      <c r="H132" s="56">
        <f t="shared" si="10"/>
        <v>0</v>
      </c>
      <c r="I132" s="42"/>
      <c r="J132" s="42" t="s">
        <v>21</v>
      </c>
      <c r="K132" s="42"/>
      <c r="L132" s="42"/>
    </row>
    <row r="133" spans="1:12" s="301" customFormat="1" x14ac:dyDescent="0.35">
      <c r="A133" s="299"/>
      <c r="B133" s="299"/>
      <c r="C133" s="299"/>
      <c r="D133" s="299"/>
      <c r="E133" s="299"/>
      <c r="F133" s="299"/>
      <c r="G133" s="326" t="s">
        <v>12</v>
      </c>
      <c r="H133" s="326">
        <f>SUM(H126:H132)</f>
        <v>101260</v>
      </c>
      <c r="I133" s="299"/>
      <c r="J133" s="299"/>
      <c r="K133" s="299"/>
      <c r="L133" s="299"/>
    </row>
    <row r="134" spans="1:12" s="106" customFormat="1" ht="18" customHeight="1" x14ac:dyDescent="0.35">
      <c r="A134" s="693" t="s">
        <v>386</v>
      </c>
      <c r="B134" s="693"/>
    </row>
    <row r="135" spans="1:12" s="70" customFormat="1" ht="18.649999999999999" customHeight="1" x14ac:dyDescent="0.35">
      <c r="A135" s="114">
        <v>1</v>
      </c>
      <c r="B135" s="114">
        <v>6000001165</v>
      </c>
      <c r="C135" s="115">
        <v>8.4328703703703711E-2</v>
      </c>
      <c r="D135" s="115">
        <v>0.62668981481481478</v>
      </c>
      <c r="E135" s="201" t="s">
        <v>387</v>
      </c>
      <c r="F135" s="202">
        <v>1</v>
      </c>
      <c r="G135" s="155">
        <v>46900</v>
      </c>
      <c r="H135" s="155">
        <f>F135*G135</f>
        <v>46900</v>
      </c>
      <c r="I135" s="114"/>
      <c r="J135" s="114" t="s">
        <v>388</v>
      </c>
      <c r="K135" s="114"/>
      <c r="L135" s="114"/>
    </row>
    <row r="136" spans="1:12" s="53" customFormat="1" x14ac:dyDescent="0.35">
      <c r="A136" s="42"/>
      <c r="B136" s="42"/>
      <c r="C136" s="42"/>
      <c r="D136" s="42"/>
      <c r="E136" s="66"/>
      <c r="F136" s="42"/>
      <c r="G136" s="304" t="s">
        <v>12</v>
      </c>
      <c r="H136" s="304">
        <f>SUM(H135:H135)</f>
        <v>46900</v>
      </c>
      <c r="I136" s="42"/>
      <c r="J136" s="42"/>
      <c r="K136" s="42"/>
      <c r="L136" s="42"/>
    </row>
    <row r="137" spans="1:12" s="692" customFormat="1" ht="18.5" x14ac:dyDescent="0.35">
      <c r="A137" s="692" t="s">
        <v>444</v>
      </c>
    </row>
    <row r="138" spans="1:12" s="53" customFormat="1" ht="21.65" customHeight="1" x14ac:dyDescent="0.35">
      <c r="A138" s="42">
        <v>1</v>
      </c>
      <c r="B138" s="42" t="s">
        <v>445</v>
      </c>
      <c r="C138" s="55">
        <v>0.87599537037037034</v>
      </c>
      <c r="D138" s="54" t="s">
        <v>146</v>
      </c>
      <c r="E138" s="66" t="s">
        <v>452</v>
      </c>
      <c r="F138" s="42">
        <v>2</v>
      </c>
      <c r="G138" s="56">
        <v>4042.5</v>
      </c>
      <c r="H138" s="56">
        <f t="shared" ref="H138:H144" si="11">F138*G138</f>
        <v>8085</v>
      </c>
      <c r="I138" s="42"/>
      <c r="J138" s="42" t="s">
        <v>460</v>
      </c>
      <c r="K138" s="43"/>
      <c r="L138" s="42"/>
    </row>
    <row r="139" spans="1:12" s="53" customFormat="1" ht="21.65" customHeight="1" x14ac:dyDescent="0.35">
      <c r="A139" s="57"/>
      <c r="B139" s="57"/>
      <c r="C139" s="127"/>
      <c r="D139" s="54" t="s">
        <v>146</v>
      </c>
      <c r="E139" s="66" t="s">
        <v>446</v>
      </c>
      <c r="F139" s="42">
        <v>2</v>
      </c>
      <c r="G139" s="56">
        <v>4132.5</v>
      </c>
      <c r="H139" s="56">
        <f t="shared" si="11"/>
        <v>8265</v>
      </c>
      <c r="I139" s="42"/>
      <c r="J139" s="42" t="s">
        <v>460</v>
      </c>
      <c r="K139" s="43"/>
      <c r="L139" s="42"/>
    </row>
    <row r="140" spans="1:12" s="53" customFormat="1" ht="21.65" customHeight="1" x14ac:dyDescent="0.35">
      <c r="A140" s="57"/>
      <c r="B140" s="57"/>
      <c r="C140" s="127"/>
      <c r="D140" s="54" t="s">
        <v>146</v>
      </c>
      <c r="E140" s="152" t="s">
        <v>447</v>
      </c>
      <c r="F140" s="42">
        <v>1</v>
      </c>
      <c r="G140" s="56">
        <v>47452.5</v>
      </c>
      <c r="H140" s="56">
        <f t="shared" si="11"/>
        <v>47452.5</v>
      </c>
      <c r="I140" s="42"/>
      <c r="J140" s="42" t="s">
        <v>460</v>
      </c>
      <c r="K140" s="43"/>
      <c r="L140" s="42"/>
    </row>
    <row r="141" spans="1:12" s="53" customFormat="1" ht="21.65" customHeight="1" x14ac:dyDescent="0.35">
      <c r="A141" s="57"/>
      <c r="B141" s="57"/>
      <c r="C141" s="127"/>
      <c r="D141" s="54" t="s">
        <v>146</v>
      </c>
      <c r="E141" s="152" t="s">
        <v>451</v>
      </c>
      <c r="F141" s="42">
        <v>4</v>
      </c>
      <c r="G141" s="56">
        <v>3997.5</v>
      </c>
      <c r="H141" s="56">
        <f>F141*G141</f>
        <v>15990</v>
      </c>
      <c r="I141" s="42"/>
      <c r="J141" s="42" t="s">
        <v>460</v>
      </c>
      <c r="K141" s="43"/>
      <c r="L141" s="42"/>
    </row>
    <row r="142" spans="1:12" s="53" customFormat="1" ht="21.65" customHeight="1" x14ac:dyDescent="0.35">
      <c r="A142" s="57"/>
      <c r="B142" s="57"/>
      <c r="C142" s="127"/>
      <c r="D142" s="54" t="s">
        <v>146</v>
      </c>
      <c r="E142" s="152" t="s">
        <v>448</v>
      </c>
      <c r="F142" s="42">
        <v>1</v>
      </c>
      <c r="G142" s="56">
        <v>27840</v>
      </c>
      <c r="H142" s="56">
        <f>F142*G142</f>
        <v>27840</v>
      </c>
      <c r="I142" s="42"/>
      <c r="J142" s="42" t="s">
        <v>460</v>
      </c>
      <c r="K142" s="43"/>
      <c r="L142" s="42"/>
    </row>
    <row r="143" spans="1:12" s="53" customFormat="1" ht="21.65" customHeight="1" x14ac:dyDescent="0.35">
      <c r="A143" s="57"/>
      <c r="B143" s="57"/>
      <c r="C143" s="127"/>
      <c r="D143" s="54" t="s">
        <v>146</v>
      </c>
      <c r="E143" s="223" t="s">
        <v>450</v>
      </c>
      <c r="F143" s="57">
        <v>2</v>
      </c>
      <c r="G143" s="59">
        <v>14242.5</v>
      </c>
      <c r="H143" s="59">
        <f t="shared" si="11"/>
        <v>28485</v>
      </c>
      <c r="I143" s="42"/>
      <c r="J143" s="57" t="s">
        <v>98</v>
      </c>
      <c r="K143" s="43"/>
      <c r="L143" s="42"/>
    </row>
    <row r="144" spans="1:12" s="109" customFormat="1" ht="21.65" customHeight="1" x14ac:dyDescent="0.35">
      <c r="A144" s="107"/>
      <c r="B144" s="107"/>
      <c r="C144" s="123"/>
      <c r="D144" s="140" t="s">
        <v>146</v>
      </c>
      <c r="E144" s="502" t="s">
        <v>449</v>
      </c>
      <c r="F144" s="107">
        <v>1</v>
      </c>
      <c r="G144" s="108">
        <v>7597.5</v>
      </c>
      <c r="H144" s="108">
        <f t="shared" si="11"/>
        <v>7597.5</v>
      </c>
      <c r="I144" s="107"/>
      <c r="J144" s="107" t="s">
        <v>460</v>
      </c>
      <c r="K144" s="323"/>
      <c r="L144" s="107"/>
    </row>
    <row r="145" spans="1:12" s="53" customFormat="1" ht="39.65" customHeight="1" x14ac:dyDescent="0.35">
      <c r="A145" s="42"/>
      <c r="B145" s="42"/>
      <c r="C145" s="55"/>
      <c r="D145" s="54" t="s">
        <v>146</v>
      </c>
      <c r="E145" s="152" t="s">
        <v>456</v>
      </c>
      <c r="F145" s="42">
        <v>1</v>
      </c>
      <c r="G145" s="56">
        <v>9221.25</v>
      </c>
      <c r="H145" s="56">
        <f>F145*G145</f>
        <v>9221.25</v>
      </c>
      <c r="I145" s="42"/>
      <c r="J145" s="42" t="s">
        <v>459</v>
      </c>
      <c r="K145" s="43" t="s">
        <v>455</v>
      </c>
      <c r="L145" s="42"/>
    </row>
    <row r="146" spans="1:12" s="53" customFormat="1" ht="61.25" customHeight="1" x14ac:dyDescent="0.35">
      <c r="A146" s="42"/>
      <c r="B146" s="42"/>
      <c r="C146" s="55"/>
      <c r="D146" s="54" t="s">
        <v>146</v>
      </c>
      <c r="E146" s="66" t="s">
        <v>458</v>
      </c>
      <c r="F146" s="42">
        <v>1</v>
      </c>
      <c r="G146" s="56">
        <v>11681.25</v>
      </c>
      <c r="H146" s="56">
        <f>F146*G146</f>
        <v>11681.25</v>
      </c>
      <c r="I146" s="42"/>
      <c r="J146" s="42" t="s">
        <v>459</v>
      </c>
      <c r="K146" s="43" t="s">
        <v>457</v>
      </c>
      <c r="L146" s="42"/>
    </row>
    <row r="147" spans="1:12" s="53" customFormat="1" x14ac:dyDescent="0.35">
      <c r="A147" s="42"/>
      <c r="B147" s="42"/>
      <c r="C147" s="42"/>
      <c r="D147" s="42"/>
      <c r="E147" s="66"/>
      <c r="F147" s="42"/>
      <c r="G147" s="73" t="s">
        <v>12</v>
      </c>
      <c r="H147" s="73">
        <f>SUM(H138:H146)</f>
        <v>164617.5</v>
      </c>
      <c r="I147" s="42"/>
      <c r="J147" s="42"/>
      <c r="K147" s="42"/>
      <c r="L147" s="42"/>
    </row>
    <row r="148" spans="1:12" s="692" customFormat="1" ht="18.649999999999999" customHeight="1" x14ac:dyDescent="0.35">
      <c r="A148" s="692" t="s">
        <v>550</v>
      </c>
    </row>
    <row r="149" spans="1:12" s="70" customFormat="1" ht="24.75" customHeight="1" x14ac:dyDescent="0.35">
      <c r="A149" s="114">
        <v>1</v>
      </c>
      <c r="B149" s="114">
        <v>4725261410</v>
      </c>
      <c r="C149" s="115" t="s">
        <v>737</v>
      </c>
      <c r="D149" s="115">
        <v>0.62807870370370367</v>
      </c>
      <c r="E149" s="125" t="s">
        <v>765</v>
      </c>
      <c r="F149" s="114">
        <v>2</v>
      </c>
      <c r="G149" s="155">
        <v>7275</v>
      </c>
      <c r="H149" s="155">
        <f>F149*G149</f>
        <v>14550</v>
      </c>
      <c r="I149" s="114"/>
      <c r="J149" s="126" t="s">
        <v>21</v>
      </c>
      <c r="K149" s="126"/>
      <c r="L149" s="114"/>
    </row>
    <row r="150" spans="1:12" s="53" customFormat="1" ht="24.75" customHeight="1" x14ac:dyDescent="0.35">
      <c r="A150" s="42">
        <v>2</v>
      </c>
      <c r="B150" s="42">
        <v>4725261459</v>
      </c>
      <c r="C150" s="55">
        <v>0.37738425925925928</v>
      </c>
      <c r="D150" s="55">
        <v>0.50377314814814811</v>
      </c>
      <c r="E150" s="66" t="s">
        <v>551</v>
      </c>
      <c r="F150" s="42">
        <v>4</v>
      </c>
      <c r="G150" s="56">
        <v>16892.55</v>
      </c>
      <c r="H150" s="56">
        <f>F150*G150</f>
        <v>67570.2</v>
      </c>
      <c r="I150" s="42"/>
      <c r="J150" s="43" t="s">
        <v>778</v>
      </c>
      <c r="K150" s="43"/>
      <c r="L150" s="42"/>
    </row>
    <row r="151" spans="1:12" s="53" customFormat="1" ht="24.75" customHeight="1" x14ac:dyDescent="0.35">
      <c r="A151" s="42"/>
      <c r="B151" s="42"/>
      <c r="C151" s="55"/>
      <c r="D151" s="55"/>
      <c r="E151" s="66" t="s">
        <v>779</v>
      </c>
      <c r="F151" s="42">
        <v>10</v>
      </c>
      <c r="G151" s="56">
        <v>7056</v>
      </c>
      <c r="H151" s="56">
        <f>F151*G151</f>
        <v>70560</v>
      </c>
      <c r="I151" s="42"/>
      <c r="J151" s="43" t="s">
        <v>778</v>
      </c>
      <c r="K151" s="43"/>
      <c r="L151" s="42"/>
    </row>
    <row r="152" spans="1:12" s="53" customFormat="1" x14ac:dyDescent="0.35">
      <c r="A152" s="42"/>
      <c r="B152" s="42"/>
      <c r="C152" s="42"/>
      <c r="D152" s="42"/>
      <c r="E152" s="66"/>
      <c r="F152" s="42"/>
      <c r="G152" s="73" t="s">
        <v>12</v>
      </c>
      <c r="H152" s="73">
        <f>SUM(H149:H151)</f>
        <v>152680.20000000001</v>
      </c>
      <c r="I152" s="42"/>
      <c r="J152" s="42"/>
      <c r="K152" s="42"/>
      <c r="L152" s="42"/>
    </row>
    <row r="153" spans="1:12" s="692" customFormat="1" ht="18.649999999999999" customHeight="1" x14ac:dyDescent="0.35">
      <c r="A153" s="692" t="s">
        <v>561</v>
      </c>
    </row>
    <row r="154" spans="1:12" s="70" customFormat="1" ht="24.75" customHeight="1" x14ac:dyDescent="0.35">
      <c r="A154" s="114">
        <v>1</v>
      </c>
      <c r="B154" s="114" t="s">
        <v>574</v>
      </c>
      <c r="C154" s="115">
        <v>0.12668981481481481</v>
      </c>
      <c r="D154" s="115" t="s">
        <v>575</v>
      </c>
      <c r="E154" s="125" t="s">
        <v>573</v>
      </c>
      <c r="F154" s="114">
        <v>2</v>
      </c>
      <c r="G154" s="155">
        <v>3998.4</v>
      </c>
      <c r="H154" s="155">
        <f>F154*G154</f>
        <v>7996.8</v>
      </c>
      <c r="I154" s="114"/>
      <c r="J154" s="126" t="s">
        <v>81</v>
      </c>
      <c r="K154" s="126"/>
      <c r="L154" s="114"/>
    </row>
    <row r="155" spans="1:12" s="53" customFormat="1" x14ac:dyDescent="0.35">
      <c r="A155" s="42"/>
      <c r="B155" s="42"/>
      <c r="C155" s="42"/>
      <c r="D155" s="42"/>
      <c r="E155" s="66"/>
      <c r="F155" s="42"/>
      <c r="G155" s="73" t="s">
        <v>12</v>
      </c>
      <c r="H155" s="73">
        <f>SUM(H154:H154)</f>
        <v>7996.8</v>
      </c>
      <c r="I155" s="42"/>
      <c r="J155" s="42"/>
      <c r="K155" s="42"/>
      <c r="L155" s="42"/>
    </row>
    <row r="156" spans="1:12" s="84" customFormat="1" ht="18.5" x14ac:dyDescent="0.35">
      <c r="A156" s="690" t="s">
        <v>661</v>
      </c>
      <c r="B156" s="691"/>
      <c r="C156" s="691"/>
      <c r="D156" s="691"/>
      <c r="E156" s="691"/>
      <c r="F156" s="691"/>
      <c r="G156" s="691"/>
      <c r="H156" s="691"/>
      <c r="I156" s="691"/>
      <c r="J156" s="691"/>
      <c r="K156" s="691"/>
    </row>
    <row r="157" spans="1:12" s="109" customFormat="1" ht="19.5" customHeight="1" x14ac:dyDescent="0.35">
      <c r="A157" s="107">
        <v>1</v>
      </c>
      <c r="B157" s="107">
        <v>4100547336</v>
      </c>
      <c r="C157" s="123">
        <v>0.71002314814814815</v>
      </c>
      <c r="D157" s="123" t="s">
        <v>662</v>
      </c>
      <c r="E157" s="415" t="s">
        <v>663</v>
      </c>
      <c r="F157" s="645">
        <v>3</v>
      </c>
      <c r="G157" s="108">
        <v>221500</v>
      </c>
      <c r="H157" s="108">
        <f>F157*G157</f>
        <v>664500</v>
      </c>
      <c r="I157" s="107"/>
      <c r="J157" s="323" t="s">
        <v>734</v>
      </c>
      <c r="K157" s="107"/>
      <c r="L157" s="107"/>
    </row>
    <row r="158" spans="1:12" s="53" customFormat="1" ht="19.5" customHeight="1" x14ac:dyDescent="0.35">
      <c r="A158" s="42"/>
      <c r="B158" s="42"/>
      <c r="C158" s="55"/>
      <c r="D158" s="55"/>
      <c r="E158" s="71" t="s">
        <v>664</v>
      </c>
      <c r="F158" s="74">
        <v>2</v>
      </c>
      <c r="G158" s="56">
        <v>135001</v>
      </c>
      <c r="H158" s="56">
        <f>F158*G158</f>
        <v>270002</v>
      </c>
      <c r="I158" s="42"/>
      <c r="J158" s="43" t="s">
        <v>65</v>
      </c>
      <c r="K158" s="42"/>
      <c r="L158" s="42"/>
    </row>
    <row r="159" spans="1:12" s="109" customFormat="1" ht="17.399999999999999" customHeight="1" x14ac:dyDescent="0.35">
      <c r="A159" s="107"/>
      <c r="B159" s="107"/>
      <c r="C159" s="123"/>
      <c r="D159" s="123"/>
      <c r="E159" s="415" t="s">
        <v>733</v>
      </c>
      <c r="F159" s="645">
        <v>6</v>
      </c>
      <c r="G159" s="108">
        <v>327583</v>
      </c>
      <c r="H159" s="108">
        <f>F159*G159</f>
        <v>1965498</v>
      </c>
      <c r="I159" s="107"/>
      <c r="J159" s="323" t="s">
        <v>734</v>
      </c>
      <c r="K159" s="107"/>
      <c r="L159" s="107"/>
    </row>
    <row r="160" spans="1:12" s="53" customFormat="1" ht="17.399999999999999" customHeight="1" x14ac:dyDescent="0.35">
      <c r="A160" s="42"/>
      <c r="B160" s="42">
        <v>4100553777</v>
      </c>
      <c r="C160" s="55" t="s">
        <v>290</v>
      </c>
      <c r="D160" s="55"/>
      <c r="E160" s="71" t="s">
        <v>1040</v>
      </c>
      <c r="F160" s="74">
        <v>10</v>
      </c>
      <c r="G160" s="56">
        <v>1813</v>
      </c>
      <c r="H160" s="56">
        <f>F160*G160</f>
        <v>18130</v>
      </c>
      <c r="I160" s="42"/>
      <c r="J160" s="43" t="s">
        <v>1041</v>
      </c>
      <c r="K160" s="42"/>
      <c r="L160" s="42"/>
    </row>
    <row r="161" spans="1:12" x14ac:dyDescent="0.35">
      <c r="A161" s="42"/>
      <c r="B161" s="50"/>
      <c r="C161" s="50"/>
      <c r="D161" s="50"/>
      <c r="E161" s="67"/>
      <c r="F161" s="50"/>
      <c r="G161" s="467" t="s">
        <v>12</v>
      </c>
      <c r="H161" s="467">
        <f>SUM(H157:H160)</f>
        <v>2918130</v>
      </c>
      <c r="I161" s="57"/>
      <c r="J161" s="57"/>
      <c r="K161" s="50"/>
      <c r="L161" s="50"/>
    </row>
    <row r="162" spans="1:12" s="692" customFormat="1" ht="18.649999999999999" customHeight="1" x14ac:dyDescent="0.35">
      <c r="A162" s="692" t="s">
        <v>866</v>
      </c>
    </row>
    <row r="163" spans="1:12" s="53" customFormat="1" ht="24.75" customHeight="1" x14ac:dyDescent="0.35">
      <c r="A163" s="42">
        <v>1</v>
      </c>
      <c r="B163" s="42" t="s">
        <v>867</v>
      </c>
      <c r="C163" s="55">
        <v>0.66905092592592597</v>
      </c>
      <c r="D163" s="55">
        <v>0.62946759259259266</v>
      </c>
      <c r="E163" s="66" t="s">
        <v>868</v>
      </c>
      <c r="F163" s="42">
        <v>4</v>
      </c>
      <c r="G163" s="56">
        <v>12800</v>
      </c>
      <c r="H163" s="56">
        <f>F163*G163</f>
        <v>51200</v>
      </c>
      <c r="I163" s="42"/>
      <c r="J163" s="43" t="s">
        <v>905</v>
      </c>
      <c r="K163" s="43"/>
      <c r="L163" s="42"/>
    </row>
    <row r="164" spans="1:12" s="53" customFormat="1" ht="24.75" customHeight="1" x14ac:dyDescent="0.35">
      <c r="A164" s="42">
        <v>2</v>
      </c>
      <c r="B164" s="42" t="s">
        <v>1200</v>
      </c>
      <c r="C164" s="55">
        <v>8.6412037037037037E-2</v>
      </c>
      <c r="D164" s="55">
        <v>4.6828703703703706E-2</v>
      </c>
      <c r="E164" s="66" t="s">
        <v>1201</v>
      </c>
      <c r="F164" s="42">
        <v>2</v>
      </c>
      <c r="G164" s="56">
        <v>12760</v>
      </c>
      <c r="H164" s="56">
        <f>F164*G164</f>
        <v>25520</v>
      </c>
      <c r="I164" s="42"/>
      <c r="J164" s="43" t="s">
        <v>905</v>
      </c>
      <c r="K164" s="43"/>
      <c r="L164" s="42"/>
    </row>
    <row r="165" spans="1:12" s="53" customFormat="1" ht="15" customHeight="1" x14ac:dyDescent="0.35">
      <c r="A165" s="42"/>
      <c r="B165" s="42"/>
      <c r="C165" s="42"/>
      <c r="D165" s="42"/>
      <c r="E165" s="66"/>
      <c r="F165" s="42"/>
      <c r="G165" s="73" t="s">
        <v>12</v>
      </c>
      <c r="H165" s="73">
        <f>SUM(H163:H164)</f>
        <v>76720</v>
      </c>
      <c r="I165" s="42"/>
      <c r="J165" s="42"/>
      <c r="K165" s="42"/>
      <c r="L165" s="42"/>
    </row>
    <row r="166" spans="1:12" s="692" customFormat="1" ht="18.649999999999999" customHeight="1" x14ac:dyDescent="0.35">
      <c r="A166" s="692" t="s">
        <v>127</v>
      </c>
    </row>
    <row r="167" spans="1:12" s="53" customFormat="1" ht="24.75" customHeight="1" x14ac:dyDescent="0.35">
      <c r="A167" s="42">
        <v>2</v>
      </c>
      <c r="B167" s="42" t="s">
        <v>934</v>
      </c>
      <c r="C167" s="55">
        <v>0.8357175925925926</v>
      </c>
      <c r="D167" s="55" t="s">
        <v>67</v>
      </c>
      <c r="E167" s="66" t="s">
        <v>935</v>
      </c>
      <c r="F167" s="42">
        <v>4</v>
      </c>
      <c r="G167" s="56">
        <v>22632.67</v>
      </c>
      <c r="H167" s="56">
        <f>F167*G167</f>
        <v>90530.68</v>
      </c>
      <c r="I167" s="42"/>
      <c r="J167" s="43" t="s">
        <v>54</v>
      </c>
      <c r="K167" s="43"/>
      <c r="L167" s="42"/>
    </row>
    <row r="168" spans="1:12" s="53" customFormat="1" x14ac:dyDescent="0.35">
      <c r="A168" s="42"/>
      <c r="B168" s="42"/>
      <c r="C168" s="42"/>
      <c r="D168" s="42"/>
      <c r="E168" s="66"/>
      <c r="F168" s="42"/>
      <c r="G168" s="73" t="s">
        <v>12</v>
      </c>
      <c r="H168" s="73">
        <f>SUM(H167:H167)</f>
        <v>90530.68</v>
      </c>
      <c r="I168" s="42"/>
      <c r="J168" s="42"/>
      <c r="K168" s="42"/>
      <c r="L168" s="42"/>
    </row>
    <row r="1046178" spans="5:5" s="44" customFormat="1" x14ac:dyDescent="0.35">
      <c r="E1046178" s="72"/>
    </row>
    <row r="1046183" spans="5:5" s="44" customFormat="1" x14ac:dyDescent="0.35"/>
  </sheetData>
  <mergeCells count="24">
    <mergeCell ref="A166:XFD166"/>
    <mergeCell ref="A1:J1"/>
    <mergeCell ref="A3:B3"/>
    <mergeCell ref="A50:J50"/>
    <mergeCell ref="A29:B29"/>
    <mergeCell ref="A44:B44"/>
    <mergeCell ref="A73:B73"/>
    <mergeCell ref="A62:XFD62"/>
    <mergeCell ref="A134:B134"/>
    <mergeCell ref="A125:XFD125"/>
    <mergeCell ref="A162:XFD162"/>
    <mergeCell ref="A156:K156"/>
    <mergeCell ref="A55:C55"/>
    <mergeCell ref="A153:XFD153"/>
    <mergeCell ref="A148:XFD148"/>
    <mergeCell ref="A137:XFD137"/>
    <mergeCell ref="A59:K59"/>
    <mergeCell ref="A117:XFD117"/>
    <mergeCell ref="A80:XFD80"/>
    <mergeCell ref="A77:B77"/>
    <mergeCell ref="A102:XFD102"/>
    <mergeCell ref="K81:K90"/>
    <mergeCell ref="A92:XFD92"/>
    <mergeCell ref="A105:XFD105"/>
  </mergeCells>
  <phoneticPr fontId="16" type="noConversion"/>
  <pageMargins left="0.70866141732283461" right="0.70866141732283461" top="0.74803149606299213" bottom="0.74803149606299213" header="0.31496062992125984" footer="0.31496062992125984"/>
  <pageSetup paperSize="9" scale="77" fitToHeight="4" orientation="landscape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299"/>
  <sheetViews>
    <sheetView zoomScale="85" zoomScaleNormal="85" workbookViewId="0">
      <pane ySplit="3" topLeftCell="A305" activePane="bottomLeft" state="frozen"/>
      <selection pane="bottomLeft" activeCell="I36" sqref="I36"/>
    </sheetView>
  </sheetViews>
  <sheetFormatPr defaultColWidth="9.08984375" defaultRowHeight="14" x14ac:dyDescent="0.35"/>
  <cols>
    <col min="1" max="1" width="4.54296875" style="2" customWidth="1"/>
    <col min="2" max="2" width="29" style="1" customWidth="1"/>
    <col min="3" max="3" width="60.54296875" style="1" bestFit="1" customWidth="1"/>
    <col min="4" max="4" width="11.6328125" style="2" bestFit="1" customWidth="1"/>
    <col min="5" max="5" width="12.453125" style="2" customWidth="1"/>
    <col min="6" max="6" width="7.6328125" style="2" bestFit="1" customWidth="1"/>
    <col min="7" max="7" width="16.36328125" style="5" customWidth="1"/>
    <col min="8" max="8" width="17.36328125" style="5" customWidth="1"/>
    <col min="9" max="9" width="28.54296875" style="380" bestFit="1" customWidth="1"/>
    <col min="10" max="10" width="26.36328125" style="10" customWidth="1"/>
    <col min="11" max="11" width="38.6328125" style="32" bestFit="1" customWidth="1"/>
    <col min="12" max="16384" width="9.08984375" style="1"/>
  </cols>
  <sheetData>
    <row r="2" spans="1:12" ht="22.5" x14ac:dyDescent="0.35">
      <c r="A2" s="760" t="s">
        <v>19</v>
      </c>
      <c r="B2" s="760"/>
      <c r="C2" s="760"/>
      <c r="D2" s="760"/>
      <c r="E2" s="760"/>
      <c r="F2" s="760"/>
      <c r="G2" s="760"/>
      <c r="H2" s="760"/>
      <c r="I2" s="760"/>
    </row>
    <row r="3" spans="1:12" s="7" customFormat="1" ht="30" customHeight="1" x14ac:dyDescent="0.35">
      <c r="A3" s="35" t="s">
        <v>13</v>
      </c>
      <c r="B3" s="36" t="s">
        <v>14</v>
      </c>
      <c r="C3" s="36" t="s">
        <v>15</v>
      </c>
      <c r="D3" s="36" t="s">
        <v>16</v>
      </c>
      <c r="E3" s="36" t="s">
        <v>17</v>
      </c>
      <c r="F3" s="36" t="s">
        <v>1</v>
      </c>
      <c r="G3" s="37" t="s">
        <v>18</v>
      </c>
      <c r="H3" s="37" t="s">
        <v>10</v>
      </c>
      <c r="I3" s="372" t="s">
        <v>22</v>
      </c>
      <c r="J3" s="38" t="s">
        <v>34</v>
      </c>
      <c r="K3" s="35" t="s">
        <v>25</v>
      </c>
    </row>
    <row r="4" spans="1:12" s="19" customFormat="1" ht="22.5" hidden="1" customHeight="1" x14ac:dyDescent="0.35">
      <c r="A4" s="14"/>
      <c r="B4" s="15" t="s">
        <v>26</v>
      </c>
      <c r="C4" s="15" t="s">
        <v>32</v>
      </c>
      <c r="D4" s="14">
        <v>83</v>
      </c>
      <c r="E4" s="14" t="s">
        <v>33</v>
      </c>
      <c r="F4" s="14">
        <v>1</v>
      </c>
      <c r="G4" s="16">
        <v>23625</v>
      </c>
      <c r="H4" s="17">
        <f>G4*F4</f>
        <v>23625</v>
      </c>
      <c r="I4" s="373" t="s">
        <v>31</v>
      </c>
      <c r="J4" s="18" t="s">
        <v>30</v>
      </c>
      <c r="K4" s="33" t="s">
        <v>36</v>
      </c>
    </row>
    <row r="5" spans="1:12" s="7" customFormat="1" ht="21" hidden="1" customHeight="1" x14ac:dyDescent="0.35">
      <c r="A5" s="116"/>
      <c r="B5" s="117"/>
      <c r="C5" s="118"/>
      <c r="D5" s="119"/>
      <c r="E5" s="119"/>
      <c r="F5" s="120"/>
      <c r="G5" s="13" t="s">
        <v>12</v>
      </c>
      <c r="H5" s="13">
        <f>SUM(H4:H4)</f>
        <v>23625</v>
      </c>
      <c r="I5" s="374"/>
      <c r="J5" s="121"/>
      <c r="K5" s="122"/>
    </row>
    <row r="6" spans="1:12" s="137" customFormat="1" ht="28.5" customHeight="1" x14ac:dyDescent="0.35">
      <c r="A6" s="128">
        <v>1</v>
      </c>
      <c r="B6" s="129" t="s">
        <v>49</v>
      </c>
      <c r="C6" s="129"/>
      <c r="D6" s="130"/>
      <c r="E6" s="131"/>
      <c r="F6" s="132"/>
      <c r="G6" s="133"/>
      <c r="H6" s="133"/>
      <c r="I6" s="375"/>
      <c r="J6" s="134"/>
      <c r="K6" s="135"/>
      <c r="L6" s="136"/>
    </row>
    <row r="7" spans="1:12" s="25" customFormat="1" ht="31.25" customHeight="1" x14ac:dyDescent="0.35">
      <c r="A7" s="176">
        <v>1</v>
      </c>
      <c r="B7" s="188" t="s">
        <v>198</v>
      </c>
      <c r="C7" s="163" t="s">
        <v>174</v>
      </c>
      <c r="D7" s="186" t="s">
        <v>175</v>
      </c>
      <c r="E7" s="187">
        <v>1.1329282407407406</v>
      </c>
      <c r="F7" s="43">
        <v>1</v>
      </c>
      <c r="G7" s="175">
        <v>762198</v>
      </c>
      <c r="H7" s="175">
        <f>F7*G7</f>
        <v>762198</v>
      </c>
      <c r="I7" s="377" t="s">
        <v>576</v>
      </c>
      <c r="J7" s="186" t="s">
        <v>53</v>
      </c>
      <c r="K7" s="187"/>
      <c r="L7" s="24"/>
    </row>
    <row r="8" spans="1:12" s="137" customFormat="1" ht="21.65" customHeight="1" x14ac:dyDescent="0.35">
      <c r="A8" s="761"/>
      <c r="B8" s="768" t="s">
        <v>438</v>
      </c>
      <c r="C8" s="234" t="s">
        <v>366</v>
      </c>
      <c r="D8" s="765" t="s">
        <v>368</v>
      </c>
      <c r="E8" s="766" t="s">
        <v>369</v>
      </c>
      <c r="F8" s="299">
        <v>6</v>
      </c>
      <c r="G8" s="620">
        <v>19498</v>
      </c>
      <c r="H8" s="620">
        <f>F8*G8</f>
        <v>116988</v>
      </c>
      <c r="I8" s="621" t="s">
        <v>402</v>
      </c>
      <c r="J8" s="217" t="s">
        <v>53</v>
      </c>
      <c r="K8" s="364" t="s">
        <v>141</v>
      </c>
      <c r="L8" s="136"/>
    </row>
    <row r="9" spans="1:12" s="137" customFormat="1" ht="21.65" customHeight="1" x14ac:dyDescent="0.35">
      <c r="A9" s="762"/>
      <c r="B9" s="769"/>
      <c r="C9" s="234" t="s">
        <v>367</v>
      </c>
      <c r="D9" s="762"/>
      <c r="E9" s="767"/>
      <c r="F9" s="299">
        <v>6</v>
      </c>
      <c r="G9" s="620">
        <v>13082</v>
      </c>
      <c r="H9" s="620">
        <f>F9*G9</f>
        <v>78492</v>
      </c>
      <c r="I9" s="621" t="s">
        <v>402</v>
      </c>
      <c r="J9" s="217" t="s">
        <v>53</v>
      </c>
      <c r="K9" s="364" t="s">
        <v>141</v>
      </c>
      <c r="L9" s="136"/>
    </row>
    <row r="10" spans="1:12" s="25" customFormat="1" ht="21.65" customHeight="1" x14ac:dyDescent="0.35">
      <c r="A10" s="23"/>
      <c r="B10" s="706" t="s">
        <v>1215</v>
      </c>
      <c r="C10" s="163" t="s">
        <v>174</v>
      </c>
      <c r="D10" s="676" t="s">
        <v>589</v>
      </c>
      <c r="E10" s="668">
        <v>0.12668981481481481</v>
      </c>
      <c r="F10" s="42">
        <v>1</v>
      </c>
      <c r="G10" s="52">
        <v>762198</v>
      </c>
      <c r="H10" s="26">
        <f>F10*G10</f>
        <v>762198</v>
      </c>
      <c r="I10" s="377" t="s">
        <v>576</v>
      </c>
      <c r="J10" s="20" t="s">
        <v>53</v>
      </c>
      <c r="K10" s="153">
        <v>0.50377314814814811</v>
      </c>
      <c r="L10" s="24"/>
    </row>
    <row r="11" spans="1:12" s="25" customFormat="1" ht="21.65" customHeight="1" x14ac:dyDescent="0.35">
      <c r="A11" s="23"/>
      <c r="B11" s="707"/>
      <c r="C11" s="66" t="s">
        <v>588</v>
      </c>
      <c r="D11" s="677"/>
      <c r="E11" s="679"/>
      <c r="F11" s="42">
        <v>10</v>
      </c>
      <c r="G11" s="26">
        <v>2338</v>
      </c>
      <c r="H11" s="26">
        <f t="shared" ref="H11:H18" si="0">F11*G11</f>
        <v>23380</v>
      </c>
      <c r="I11" s="378" t="s">
        <v>142</v>
      </c>
      <c r="J11" s="20" t="s">
        <v>53</v>
      </c>
      <c r="K11" s="153">
        <v>0.50377314814814811</v>
      </c>
      <c r="L11" s="24"/>
    </row>
    <row r="12" spans="1:12" s="25" customFormat="1" ht="21.65" customHeight="1" x14ac:dyDescent="0.35">
      <c r="A12" s="23"/>
      <c r="B12" s="707"/>
      <c r="C12" s="66" t="s">
        <v>587</v>
      </c>
      <c r="D12" s="677"/>
      <c r="E12" s="679"/>
      <c r="F12" s="42">
        <v>10</v>
      </c>
      <c r="G12" s="26">
        <v>1890</v>
      </c>
      <c r="H12" s="26">
        <f t="shared" si="0"/>
        <v>18900</v>
      </c>
      <c r="I12" s="378" t="s">
        <v>142</v>
      </c>
      <c r="J12" s="20" t="s">
        <v>53</v>
      </c>
      <c r="K12" s="153">
        <v>0.50377314814814811</v>
      </c>
      <c r="L12" s="24"/>
    </row>
    <row r="13" spans="1:12" s="25" customFormat="1" ht="21.65" customHeight="1" x14ac:dyDescent="0.35">
      <c r="A13" s="23"/>
      <c r="B13" s="707"/>
      <c r="C13" s="66" t="s">
        <v>586</v>
      </c>
      <c r="D13" s="677"/>
      <c r="E13" s="679"/>
      <c r="F13" s="42">
        <v>10</v>
      </c>
      <c r="G13" s="26">
        <v>5741</v>
      </c>
      <c r="H13" s="26">
        <f t="shared" si="0"/>
        <v>57410</v>
      </c>
      <c r="I13" s="378" t="s">
        <v>142</v>
      </c>
      <c r="J13" s="20" t="s">
        <v>53</v>
      </c>
      <c r="K13" s="153">
        <v>0.50377314814814811</v>
      </c>
      <c r="L13" s="24"/>
    </row>
    <row r="14" spans="1:12" s="25" customFormat="1" ht="21.65" customHeight="1" x14ac:dyDescent="0.35">
      <c r="A14" s="23"/>
      <c r="B14" s="708"/>
      <c r="C14" s="66" t="s">
        <v>283</v>
      </c>
      <c r="D14" s="677"/>
      <c r="E14" s="679"/>
      <c r="F14" s="42">
        <v>10</v>
      </c>
      <c r="G14" s="26">
        <v>667</v>
      </c>
      <c r="H14" s="26">
        <f t="shared" si="0"/>
        <v>6670</v>
      </c>
      <c r="I14" s="378" t="s">
        <v>142</v>
      </c>
      <c r="J14" s="20" t="s">
        <v>53</v>
      </c>
      <c r="K14" s="153">
        <v>0.50377314814814811</v>
      </c>
      <c r="L14" s="24"/>
    </row>
    <row r="15" spans="1:12" s="25" customFormat="1" ht="21.65" customHeight="1" x14ac:dyDescent="0.35">
      <c r="A15" s="23"/>
      <c r="B15" s="706" t="s">
        <v>1214</v>
      </c>
      <c r="C15" s="66" t="s">
        <v>842</v>
      </c>
      <c r="D15" s="754" t="s">
        <v>838</v>
      </c>
      <c r="E15" s="739">
        <v>0.54405092592592597</v>
      </c>
      <c r="F15" s="42">
        <v>2</v>
      </c>
      <c r="G15" s="26">
        <v>39347</v>
      </c>
      <c r="H15" s="26">
        <f t="shared" si="0"/>
        <v>78694</v>
      </c>
      <c r="I15" s="378" t="s">
        <v>142</v>
      </c>
      <c r="J15" s="20" t="s">
        <v>53</v>
      </c>
      <c r="K15" s="153">
        <v>0.50377314814814811</v>
      </c>
      <c r="L15" s="24"/>
    </row>
    <row r="16" spans="1:12" s="25" customFormat="1" ht="21.65" customHeight="1" x14ac:dyDescent="0.35">
      <c r="A16" s="23"/>
      <c r="B16" s="707"/>
      <c r="C16" s="66" t="s">
        <v>841</v>
      </c>
      <c r="D16" s="754"/>
      <c r="E16" s="739"/>
      <c r="F16" s="42">
        <v>3</v>
      </c>
      <c r="G16" s="26">
        <v>4137</v>
      </c>
      <c r="H16" s="26">
        <f t="shared" si="0"/>
        <v>12411</v>
      </c>
      <c r="I16" s="378" t="s">
        <v>142</v>
      </c>
      <c r="J16" s="20" t="s">
        <v>53</v>
      </c>
      <c r="K16" s="153">
        <v>0.50377314814814811</v>
      </c>
      <c r="L16" s="24"/>
    </row>
    <row r="17" spans="1:12" s="25" customFormat="1" ht="21.65" customHeight="1" x14ac:dyDescent="0.35">
      <c r="A17" s="23"/>
      <c r="B17" s="707"/>
      <c r="C17" s="66" t="s">
        <v>840</v>
      </c>
      <c r="D17" s="754"/>
      <c r="E17" s="739"/>
      <c r="F17" s="42">
        <v>1</v>
      </c>
      <c r="G17" s="26">
        <v>7282</v>
      </c>
      <c r="H17" s="26">
        <f t="shared" si="0"/>
        <v>7282</v>
      </c>
      <c r="I17" s="378" t="s">
        <v>142</v>
      </c>
      <c r="J17" s="20" t="s">
        <v>53</v>
      </c>
      <c r="K17" s="153">
        <v>0.50377314814814811</v>
      </c>
      <c r="L17" s="24"/>
    </row>
    <row r="18" spans="1:12" s="25" customFormat="1" ht="21.65" customHeight="1" x14ac:dyDescent="0.35">
      <c r="A18" s="23"/>
      <c r="B18" s="708"/>
      <c r="C18" s="66" t="s">
        <v>839</v>
      </c>
      <c r="D18" s="754"/>
      <c r="E18" s="739"/>
      <c r="F18" s="42">
        <v>1</v>
      </c>
      <c r="G18" s="26">
        <v>7282</v>
      </c>
      <c r="H18" s="26">
        <f t="shared" si="0"/>
        <v>7282</v>
      </c>
      <c r="I18" s="378" t="s">
        <v>142</v>
      </c>
      <c r="J18" s="20" t="s">
        <v>53</v>
      </c>
      <c r="K18" s="153">
        <v>0.50377314814814811</v>
      </c>
      <c r="L18" s="24"/>
    </row>
    <row r="19" spans="1:12" s="25" customFormat="1" ht="21.65" customHeight="1" x14ac:dyDescent="0.35">
      <c r="A19" s="23"/>
      <c r="B19" s="21"/>
      <c r="C19" s="66" t="s">
        <v>883</v>
      </c>
      <c r="D19" s="754" t="s">
        <v>879</v>
      </c>
      <c r="E19" s="739">
        <v>0.7107175925925926</v>
      </c>
      <c r="F19" s="42">
        <v>5</v>
      </c>
      <c r="G19" s="26">
        <v>20867</v>
      </c>
      <c r="H19" s="26">
        <f>F19*G19</f>
        <v>104335</v>
      </c>
      <c r="I19" s="378" t="s">
        <v>882</v>
      </c>
      <c r="J19" s="20" t="s">
        <v>53</v>
      </c>
      <c r="K19" s="153">
        <v>0.96280092592592592</v>
      </c>
      <c r="L19" s="24"/>
    </row>
    <row r="20" spans="1:12" s="25" customFormat="1" ht="21.65" customHeight="1" x14ac:dyDescent="0.35">
      <c r="A20" s="23"/>
      <c r="B20" s="313"/>
      <c r="C20" s="66" t="s">
        <v>884</v>
      </c>
      <c r="D20" s="754"/>
      <c r="E20" s="739"/>
      <c r="F20" s="42">
        <v>3</v>
      </c>
      <c r="G20" s="26">
        <v>19172</v>
      </c>
      <c r="H20" s="26">
        <f>F20*G20</f>
        <v>57516</v>
      </c>
      <c r="I20" s="378" t="s">
        <v>882</v>
      </c>
      <c r="J20" s="20" t="s">
        <v>53</v>
      </c>
      <c r="K20" s="153">
        <v>0.96280092592592592</v>
      </c>
      <c r="L20" s="24"/>
    </row>
    <row r="21" spans="1:12" s="25" customFormat="1" ht="21.65" customHeight="1" x14ac:dyDescent="0.35">
      <c r="A21" s="23"/>
      <c r="B21" s="313"/>
      <c r="C21" s="66" t="s">
        <v>885</v>
      </c>
      <c r="D21" s="754"/>
      <c r="E21" s="739"/>
      <c r="F21" s="42">
        <v>3</v>
      </c>
      <c r="G21" s="26">
        <v>24817</v>
      </c>
      <c r="H21" s="26">
        <f>F21*G21</f>
        <v>74451</v>
      </c>
      <c r="I21" s="378" t="s">
        <v>882</v>
      </c>
      <c r="J21" s="20" t="s">
        <v>53</v>
      </c>
      <c r="K21" s="153">
        <v>0.96280092592592592</v>
      </c>
      <c r="L21" s="24"/>
    </row>
    <row r="22" spans="1:12" s="25" customFormat="1" ht="21.65" customHeight="1" x14ac:dyDescent="0.35">
      <c r="A22" s="23"/>
      <c r="B22" s="313"/>
      <c r="C22" s="66" t="s">
        <v>587</v>
      </c>
      <c r="D22" s="754"/>
      <c r="E22" s="739"/>
      <c r="F22" s="42">
        <v>3</v>
      </c>
      <c r="G22" s="26">
        <v>20867</v>
      </c>
      <c r="H22" s="26">
        <f>F22*G22</f>
        <v>62601</v>
      </c>
      <c r="I22" s="378" t="s">
        <v>882</v>
      </c>
      <c r="J22" s="20" t="s">
        <v>53</v>
      </c>
      <c r="K22" s="153">
        <v>0.96280092592592592</v>
      </c>
      <c r="L22" s="24"/>
    </row>
    <row r="23" spans="1:12" s="25" customFormat="1" ht="21.65" customHeight="1" x14ac:dyDescent="0.35">
      <c r="A23" s="23"/>
      <c r="B23" s="313"/>
      <c r="C23" s="66" t="s">
        <v>886</v>
      </c>
      <c r="D23" s="754"/>
      <c r="E23" s="739"/>
      <c r="F23" s="42">
        <v>5</v>
      </c>
      <c r="G23" s="26">
        <v>31670</v>
      </c>
      <c r="H23" s="26">
        <f>F23*G23</f>
        <v>158350</v>
      </c>
      <c r="I23" s="496" t="s">
        <v>882</v>
      </c>
      <c r="J23" s="20" t="s">
        <v>53</v>
      </c>
      <c r="K23" s="153">
        <v>0.96280092592592592</v>
      </c>
      <c r="L23" s="24"/>
    </row>
    <row r="24" spans="1:12" ht="21" customHeight="1" x14ac:dyDescent="0.35">
      <c r="A24" s="110"/>
      <c r="B24" s="12"/>
      <c r="C24" s="139"/>
      <c r="D24" s="6"/>
      <c r="E24" s="6"/>
      <c r="F24" s="6"/>
      <c r="G24" s="177" t="s">
        <v>12</v>
      </c>
      <c r="H24" s="177">
        <f>SUM(H6:H23)</f>
        <v>2389158</v>
      </c>
      <c r="I24" s="379"/>
    </row>
    <row r="25" spans="1:12" s="11" customFormat="1" ht="18.75" customHeight="1" x14ac:dyDescent="0.35">
      <c r="A25" s="20">
        <v>2</v>
      </c>
      <c r="B25" s="8" t="s">
        <v>35</v>
      </c>
      <c r="C25" s="152" t="s">
        <v>437</v>
      </c>
      <c r="D25" s="178" t="s">
        <v>434</v>
      </c>
      <c r="E25" s="153">
        <v>0.66766203703703697</v>
      </c>
      <c r="F25" s="20">
        <v>1</v>
      </c>
      <c r="G25" s="9">
        <v>40300</v>
      </c>
      <c r="H25" s="9">
        <f t="shared" ref="H25:H34" si="1">G25*F25</f>
        <v>40300</v>
      </c>
      <c r="I25" s="482" t="s">
        <v>421</v>
      </c>
      <c r="J25" s="456" t="s">
        <v>30</v>
      </c>
      <c r="K25" s="456" t="s">
        <v>435</v>
      </c>
    </row>
    <row r="26" spans="1:12" s="11" customFormat="1" ht="18.75" customHeight="1" x14ac:dyDescent="0.35">
      <c r="A26" s="20"/>
      <c r="B26" s="8"/>
      <c r="C26" s="152" t="s">
        <v>637</v>
      </c>
      <c r="D26" s="195" t="s">
        <v>638</v>
      </c>
      <c r="E26" s="454">
        <v>0.54335648148148141</v>
      </c>
      <c r="F26" s="157">
        <v>2</v>
      </c>
      <c r="G26" s="105">
        <v>55000</v>
      </c>
      <c r="H26" s="105">
        <f t="shared" si="1"/>
        <v>110000</v>
      </c>
      <c r="I26" s="455" t="s">
        <v>639</v>
      </c>
      <c r="J26" s="456" t="s">
        <v>70</v>
      </c>
      <c r="K26" s="456" t="s">
        <v>640</v>
      </c>
    </row>
    <row r="27" spans="1:12" s="11" customFormat="1" ht="18.75" customHeight="1" x14ac:dyDescent="0.35">
      <c r="A27" s="20"/>
      <c r="B27" s="8"/>
      <c r="C27" s="152" t="s">
        <v>742</v>
      </c>
      <c r="D27" s="195" t="s">
        <v>743</v>
      </c>
      <c r="E27" s="454">
        <v>8.5717592592592595E-2</v>
      </c>
      <c r="F27" s="157">
        <v>1</v>
      </c>
      <c r="G27" s="105">
        <v>659000</v>
      </c>
      <c r="H27" s="105">
        <f t="shared" si="1"/>
        <v>659000</v>
      </c>
      <c r="I27" s="455" t="s">
        <v>744</v>
      </c>
      <c r="J27" s="456" t="s">
        <v>508</v>
      </c>
      <c r="K27" s="456" t="s">
        <v>745</v>
      </c>
    </row>
    <row r="28" spans="1:12" s="11" customFormat="1" ht="18.75" customHeight="1" x14ac:dyDescent="0.35">
      <c r="A28" s="20"/>
      <c r="B28" s="8"/>
      <c r="C28" s="152" t="s">
        <v>100</v>
      </c>
      <c r="D28" s="755" t="s">
        <v>761</v>
      </c>
      <c r="E28" s="668">
        <v>0.2107175925925926</v>
      </c>
      <c r="F28" s="157">
        <v>1</v>
      </c>
      <c r="G28" s="105">
        <v>665142</v>
      </c>
      <c r="H28" s="105">
        <f t="shared" si="1"/>
        <v>665142</v>
      </c>
      <c r="I28" s="455" t="s">
        <v>759</v>
      </c>
      <c r="J28" s="456" t="s">
        <v>762</v>
      </c>
      <c r="K28" s="456" t="s">
        <v>763</v>
      </c>
    </row>
    <row r="29" spans="1:12" s="11" customFormat="1" ht="18.75" customHeight="1" x14ac:dyDescent="0.35">
      <c r="A29" s="20"/>
      <c r="B29" s="8"/>
      <c r="C29" s="152" t="s">
        <v>101</v>
      </c>
      <c r="D29" s="756"/>
      <c r="E29" s="679"/>
      <c r="F29" s="157">
        <v>1</v>
      </c>
      <c r="G29" s="105">
        <v>345667</v>
      </c>
      <c r="H29" s="105">
        <f t="shared" si="1"/>
        <v>345667</v>
      </c>
      <c r="I29" s="455" t="s">
        <v>759</v>
      </c>
      <c r="J29" s="456" t="s">
        <v>762</v>
      </c>
      <c r="K29" s="456" t="s">
        <v>763</v>
      </c>
    </row>
    <row r="30" spans="1:12" s="11" customFormat="1" ht="18.75" customHeight="1" x14ac:dyDescent="0.35">
      <c r="A30" s="20"/>
      <c r="B30" s="8"/>
      <c r="C30" s="152" t="s">
        <v>760</v>
      </c>
      <c r="D30" s="756"/>
      <c r="E30" s="679"/>
      <c r="F30" s="157">
        <v>500</v>
      </c>
      <c r="G30" s="105">
        <v>3400</v>
      </c>
      <c r="H30" s="105">
        <f t="shared" si="1"/>
        <v>1700000</v>
      </c>
      <c r="I30" s="455" t="s">
        <v>759</v>
      </c>
      <c r="J30" s="456" t="s">
        <v>67</v>
      </c>
      <c r="K30" s="456" t="s">
        <v>764</v>
      </c>
    </row>
    <row r="31" spans="1:12" s="11" customFormat="1" ht="18.75" customHeight="1" x14ac:dyDescent="0.35">
      <c r="A31" s="20"/>
      <c r="B31" s="8"/>
      <c r="C31" s="152" t="s">
        <v>102</v>
      </c>
      <c r="D31" s="757"/>
      <c r="E31" s="669"/>
      <c r="F31" s="157">
        <v>100</v>
      </c>
      <c r="G31" s="105">
        <v>3600</v>
      </c>
      <c r="H31" s="105">
        <f t="shared" si="1"/>
        <v>360000</v>
      </c>
      <c r="I31" s="455" t="s">
        <v>759</v>
      </c>
      <c r="J31" s="456" t="s">
        <v>67</v>
      </c>
      <c r="K31" s="456" t="s">
        <v>764</v>
      </c>
    </row>
    <row r="32" spans="1:12" s="11" customFormat="1" ht="18.75" customHeight="1" x14ac:dyDescent="0.35">
      <c r="A32" s="20"/>
      <c r="B32" s="8"/>
      <c r="C32" s="152" t="s">
        <v>876</v>
      </c>
      <c r="D32" s="755" t="s">
        <v>879</v>
      </c>
      <c r="E32" s="668">
        <v>0.7107175925925926</v>
      </c>
      <c r="F32" s="157">
        <v>130</v>
      </c>
      <c r="G32" s="105">
        <v>900</v>
      </c>
      <c r="H32" s="105">
        <f t="shared" si="1"/>
        <v>117000</v>
      </c>
      <c r="I32" s="455" t="s">
        <v>880</v>
      </c>
      <c r="J32" s="456" t="s">
        <v>39</v>
      </c>
      <c r="K32" s="456" t="s">
        <v>881</v>
      </c>
    </row>
    <row r="33" spans="1:11" s="11" customFormat="1" ht="18.75" customHeight="1" x14ac:dyDescent="0.35">
      <c r="A33" s="20"/>
      <c r="B33" s="8"/>
      <c r="C33" s="152" t="s">
        <v>877</v>
      </c>
      <c r="D33" s="756"/>
      <c r="E33" s="679"/>
      <c r="F33" s="157">
        <v>214</v>
      </c>
      <c r="G33" s="105">
        <v>480</v>
      </c>
      <c r="H33" s="105">
        <f t="shared" si="1"/>
        <v>102720</v>
      </c>
      <c r="I33" s="455" t="s">
        <v>880</v>
      </c>
      <c r="J33" s="456" t="s">
        <v>39</v>
      </c>
      <c r="K33" s="456" t="s">
        <v>881</v>
      </c>
    </row>
    <row r="34" spans="1:11" s="11" customFormat="1" ht="18.75" customHeight="1" x14ac:dyDescent="0.35">
      <c r="A34" s="20"/>
      <c r="B34" s="8"/>
      <c r="C34" s="152" t="s">
        <v>878</v>
      </c>
      <c r="D34" s="757"/>
      <c r="E34" s="669"/>
      <c r="F34" s="157">
        <v>273</v>
      </c>
      <c r="G34" s="105">
        <v>950</v>
      </c>
      <c r="H34" s="105">
        <f t="shared" si="1"/>
        <v>259350</v>
      </c>
      <c r="I34" s="455" t="s">
        <v>880</v>
      </c>
      <c r="J34" s="456" t="s">
        <v>39</v>
      </c>
      <c r="K34" s="456" t="s">
        <v>881</v>
      </c>
    </row>
    <row r="35" spans="1:11" s="11" customFormat="1" ht="18.75" customHeight="1" x14ac:dyDescent="0.35">
      <c r="A35" s="20"/>
      <c r="B35" s="8"/>
      <c r="C35" s="152" t="s">
        <v>1148</v>
      </c>
      <c r="D35" s="545" t="s">
        <v>1149</v>
      </c>
      <c r="E35" s="454">
        <v>4.4745370370370373E-2</v>
      </c>
      <c r="F35" s="157">
        <v>1</v>
      </c>
      <c r="G35" s="105">
        <v>50310</v>
      </c>
      <c r="H35" s="105">
        <f>G35*F35</f>
        <v>50310</v>
      </c>
      <c r="I35" s="455" t="s">
        <v>68</v>
      </c>
      <c r="J35" s="456" t="s">
        <v>1150</v>
      </c>
      <c r="K35" s="456" t="s">
        <v>1151</v>
      </c>
    </row>
    <row r="36" spans="1:11" s="11" customFormat="1" ht="18.75" customHeight="1" x14ac:dyDescent="0.35">
      <c r="A36" s="20"/>
      <c r="B36" s="8"/>
      <c r="C36" s="152" t="s">
        <v>1155</v>
      </c>
      <c r="D36" s="755" t="s">
        <v>1156</v>
      </c>
      <c r="E36" s="668">
        <v>8.6412037037037037E-2</v>
      </c>
      <c r="F36" s="157">
        <v>600</v>
      </c>
      <c r="G36" s="105">
        <v>600</v>
      </c>
      <c r="H36" s="105">
        <f>G36*F36</f>
        <v>360000</v>
      </c>
      <c r="I36" s="455" t="s">
        <v>38</v>
      </c>
      <c r="J36" s="456" t="s">
        <v>39</v>
      </c>
      <c r="K36" s="456" t="s">
        <v>1157</v>
      </c>
    </row>
    <row r="37" spans="1:11" s="11" customFormat="1" ht="18.75" customHeight="1" x14ac:dyDescent="0.35">
      <c r="A37" s="20"/>
      <c r="B37" s="8"/>
      <c r="C37" s="152" t="s">
        <v>1154</v>
      </c>
      <c r="D37" s="756"/>
      <c r="E37" s="679"/>
      <c r="F37" s="157">
        <v>100</v>
      </c>
      <c r="G37" s="105">
        <v>370</v>
      </c>
      <c r="H37" s="105">
        <f>G37*F37</f>
        <v>37000</v>
      </c>
      <c r="I37" s="455" t="s">
        <v>38</v>
      </c>
      <c r="J37" s="456" t="s">
        <v>39</v>
      </c>
      <c r="K37" s="456" t="s">
        <v>1157</v>
      </c>
    </row>
    <row r="38" spans="1:11" s="11" customFormat="1" ht="18.75" customHeight="1" x14ac:dyDescent="0.35">
      <c r="A38" s="20"/>
      <c r="B38" s="8"/>
      <c r="C38" s="152" t="s">
        <v>1153</v>
      </c>
      <c r="D38" s="757"/>
      <c r="E38" s="669"/>
      <c r="F38" s="157">
        <v>300</v>
      </c>
      <c r="G38" s="105">
        <v>550</v>
      </c>
      <c r="H38" s="105">
        <f>G38*F38</f>
        <v>165000</v>
      </c>
      <c r="I38" s="455" t="s">
        <v>38</v>
      </c>
      <c r="J38" s="456" t="s">
        <v>39</v>
      </c>
      <c r="K38" s="456" t="s">
        <v>1157</v>
      </c>
    </row>
    <row r="39" spans="1:11" x14ac:dyDescent="0.35">
      <c r="G39" s="29" t="s">
        <v>12</v>
      </c>
      <c r="H39" s="29">
        <f>SUM(H25:H38)</f>
        <v>4971489</v>
      </c>
    </row>
    <row r="40" spans="1:11" s="11" customFormat="1" ht="13.25" hidden="1" customHeight="1" x14ac:dyDescent="0.35">
      <c r="A40" s="217">
        <v>3</v>
      </c>
      <c r="B40" s="218" t="s">
        <v>52</v>
      </c>
      <c r="C40" s="22" t="s">
        <v>56</v>
      </c>
      <c r="D40" s="20">
        <v>158</v>
      </c>
      <c r="E40" s="227" t="s">
        <v>59</v>
      </c>
      <c r="F40" s="20">
        <v>1</v>
      </c>
      <c r="G40" s="9">
        <v>8539.2999999999993</v>
      </c>
      <c r="H40" s="9">
        <f t="shared" ref="H40:H60" si="2">G40*F40</f>
        <v>8539.2999999999993</v>
      </c>
      <c r="I40" s="381" t="s">
        <v>38</v>
      </c>
      <c r="J40" s="21" t="s">
        <v>43</v>
      </c>
      <c r="K40" s="34" t="s">
        <v>84</v>
      </c>
    </row>
    <row r="41" spans="1:11" s="11" customFormat="1" ht="18.75" hidden="1" customHeight="1" x14ac:dyDescent="0.35">
      <c r="A41" s="20"/>
      <c r="B41" s="8"/>
      <c r="C41" s="66" t="s">
        <v>69</v>
      </c>
      <c r="D41" s="20">
        <v>29</v>
      </c>
      <c r="E41" s="153">
        <v>0.83709490740740744</v>
      </c>
      <c r="F41" s="42">
        <f>2-1</f>
        <v>1</v>
      </c>
      <c r="G41" s="9">
        <v>115000</v>
      </c>
      <c r="H41" s="9">
        <f t="shared" si="2"/>
        <v>115000</v>
      </c>
      <c r="I41" s="381" t="s">
        <v>28</v>
      </c>
      <c r="J41" s="21" t="s">
        <v>70</v>
      </c>
      <c r="K41" s="39">
        <v>1.0044560185185185</v>
      </c>
    </row>
    <row r="42" spans="1:11" s="11" customFormat="1" ht="18.75" hidden="1" customHeight="1" x14ac:dyDescent="0.35">
      <c r="A42" s="20"/>
      <c r="B42" s="8"/>
      <c r="C42" s="66" t="s">
        <v>73</v>
      </c>
      <c r="D42" s="186" t="s">
        <v>74</v>
      </c>
      <c r="E42" s="187" t="s">
        <v>75</v>
      </c>
      <c r="F42" s="42">
        <f>2-1</f>
        <v>1</v>
      </c>
      <c r="G42" s="9">
        <v>12697.65</v>
      </c>
      <c r="H42" s="9">
        <f t="shared" si="2"/>
        <v>12697.65</v>
      </c>
      <c r="I42" s="381" t="s">
        <v>38</v>
      </c>
      <c r="J42" s="21" t="s">
        <v>125</v>
      </c>
      <c r="K42" s="34">
        <v>0.83987268518518521</v>
      </c>
    </row>
    <row r="43" spans="1:11" s="11" customFormat="1" ht="18.75" hidden="1" customHeight="1" x14ac:dyDescent="0.35">
      <c r="A43" s="20"/>
      <c r="B43" s="8"/>
      <c r="C43" s="66" t="s">
        <v>117</v>
      </c>
      <c r="D43" s="20" t="s">
        <v>118</v>
      </c>
      <c r="E43" s="153">
        <v>1.1315393518518519</v>
      </c>
      <c r="F43" s="42">
        <v>2</v>
      </c>
      <c r="G43" s="9">
        <v>1870.5</v>
      </c>
      <c r="H43" s="9">
        <f t="shared" si="2"/>
        <v>3741</v>
      </c>
      <c r="I43" s="381" t="s">
        <v>119</v>
      </c>
      <c r="J43" s="21" t="s">
        <v>30</v>
      </c>
      <c r="K43" s="34">
        <v>0.25862268518518522</v>
      </c>
    </row>
    <row r="44" spans="1:11" s="11" customFormat="1" ht="18.75" hidden="1" customHeight="1" x14ac:dyDescent="0.35">
      <c r="A44" s="20"/>
      <c r="B44" s="8"/>
      <c r="C44" s="66" t="s">
        <v>160</v>
      </c>
      <c r="D44" s="676" t="s">
        <v>162</v>
      </c>
      <c r="E44" s="668">
        <v>0.88292824074074072</v>
      </c>
      <c r="F44" s="42">
        <v>5</v>
      </c>
      <c r="G44" s="9">
        <v>101000</v>
      </c>
      <c r="H44" s="9">
        <f t="shared" si="2"/>
        <v>505000</v>
      </c>
      <c r="I44" s="688" t="s">
        <v>82</v>
      </c>
      <c r="J44" s="34" t="s">
        <v>43</v>
      </c>
      <c r="K44" s="34">
        <v>0.54405092592592597</v>
      </c>
    </row>
    <row r="45" spans="1:11" s="11" customFormat="1" ht="18.75" hidden="1" customHeight="1" x14ac:dyDescent="0.35">
      <c r="A45" s="20"/>
      <c r="B45" s="8"/>
      <c r="C45" s="66" t="s">
        <v>161</v>
      </c>
      <c r="D45" s="678"/>
      <c r="E45" s="669"/>
      <c r="F45" s="42">
        <f>10-9</f>
        <v>1</v>
      </c>
      <c r="G45" s="9">
        <v>4080</v>
      </c>
      <c r="H45" s="9">
        <f t="shared" si="2"/>
        <v>4080</v>
      </c>
      <c r="I45" s="689"/>
      <c r="J45" s="21" t="s">
        <v>66</v>
      </c>
      <c r="K45" s="34" t="s">
        <v>146</v>
      </c>
    </row>
    <row r="46" spans="1:11" s="11" customFormat="1" ht="18.75" hidden="1" customHeight="1" x14ac:dyDescent="0.35">
      <c r="A46" s="20"/>
      <c r="B46" s="8"/>
      <c r="C46" s="66" t="s">
        <v>177</v>
      </c>
      <c r="D46" s="20" t="s">
        <v>178</v>
      </c>
      <c r="E46" s="153">
        <v>9.195601851851852E-2</v>
      </c>
      <c r="F46" s="42">
        <v>1</v>
      </c>
      <c r="G46" s="9">
        <v>939593.7</v>
      </c>
      <c r="H46" s="9">
        <f t="shared" si="2"/>
        <v>939593.7</v>
      </c>
      <c r="I46" s="381" t="s">
        <v>82</v>
      </c>
      <c r="J46" s="21" t="s">
        <v>43</v>
      </c>
      <c r="K46" s="34" t="s">
        <v>179</v>
      </c>
    </row>
    <row r="47" spans="1:11" s="137" customFormat="1" ht="18" hidden="1" customHeight="1" x14ac:dyDescent="0.35">
      <c r="A47" s="20"/>
      <c r="B47" s="8"/>
      <c r="C47" s="66" t="s">
        <v>232</v>
      </c>
      <c r="D47" s="676" t="s">
        <v>231</v>
      </c>
      <c r="E47" s="668">
        <v>0.46695601851851848</v>
      </c>
      <c r="F47" s="42">
        <v>1</v>
      </c>
      <c r="G47" s="9">
        <v>312083.55</v>
      </c>
      <c r="H47" s="9">
        <f>G47*F47</f>
        <v>312083.55</v>
      </c>
      <c r="I47" s="381" t="s">
        <v>82</v>
      </c>
      <c r="J47" s="20" t="s">
        <v>103</v>
      </c>
      <c r="K47" s="153">
        <v>0.6697453703703703</v>
      </c>
    </row>
    <row r="48" spans="1:11" s="11" customFormat="1" ht="18" hidden="1" customHeight="1" x14ac:dyDescent="0.35">
      <c r="A48" s="20"/>
      <c r="B48" s="8"/>
      <c r="C48" s="66" t="s">
        <v>233</v>
      </c>
      <c r="D48" s="677"/>
      <c r="E48" s="679"/>
      <c r="F48" s="42">
        <v>1</v>
      </c>
      <c r="G48" s="9">
        <v>405389.7</v>
      </c>
      <c r="H48" s="9">
        <f>G48*F48</f>
        <v>405389.7</v>
      </c>
      <c r="I48" s="381" t="s">
        <v>82</v>
      </c>
      <c r="J48" s="20" t="s">
        <v>103</v>
      </c>
      <c r="K48" s="153">
        <v>0.6697453703703703</v>
      </c>
    </row>
    <row r="49" spans="1:11" s="11" customFormat="1" ht="18" hidden="1" customHeight="1" x14ac:dyDescent="0.35">
      <c r="A49" s="20"/>
      <c r="B49" s="8"/>
      <c r="C49" s="66" t="s">
        <v>234</v>
      </c>
      <c r="D49" s="677"/>
      <c r="E49" s="679"/>
      <c r="F49" s="42">
        <v>1</v>
      </c>
      <c r="G49" s="9">
        <v>328884.3</v>
      </c>
      <c r="H49" s="9">
        <f>G49*F49</f>
        <v>328884.3</v>
      </c>
      <c r="I49" s="381" t="s">
        <v>82</v>
      </c>
      <c r="J49" s="20" t="s">
        <v>103</v>
      </c>
      <c r="K49" s="153">
        <v>0.6697453703703703</v>
      </c>
    </row>
    <row r="50" spans="1:11" s="137" customFormat="1" ht="18" hidden="1" customHeight="1" x14ac:dyDescent="0.35">
      <c r="A50" s="217"/>
      <c r="B50" s="218"/>
      <c r="C50" s="234" t="s">
        <v>235</v>
      </c>
      <c r="D50" s="677"/>
      <c r="E50" s="679"/>
      <c r="F50" s="299">
        <v>1</v>
      </c>
      <c r="G50" s="329">
        <v>98684.1</v>
      </c>
      <c r="H50" s="329">
        <f>G50*F50</f>
        <v>98684.1</v>
      </c>
      <c r="I50" s="382" t="s">
        <v>82</v>
      </c>
      <c r="J50" s="217" t="s">
        <v>103</v>
      </c>
      <c r="K50" s="364">
        <v>0.6697453703703703</v>
      </c>
    </row>
    <row r="51" spans="1:11" s="11" customFormat="1" ht="18" hidden="1" customHeight="1" x14ac:dyDescent="0.35">
      <c r="A51" s="20"/>
      <c r="B51" s="8"/>
      <c r="C51" s="66" t="s">
        <v>236</v>
      </c>
      <c r="D51" s="677"/>
      <c r="E51" s="679"/>
      <c r="F51" s="42">
        <v>2</v>
      </c>
      <c r="G51" s="9">
        <v>22392.45</v>
      </c>
      <c r="H51" s="9">
        <f>G51*F51</f>
        <v>44784.9</v>
      </c>
      <c r="I51" s="381" t="s">
        <v>82</v>
      </c>
      <c r="J51" s="20" t="s">
        <v>103</v>
      </c>
      <c r="K51" s="153">
        <v>0.6697453703703703</v>
      </c>
    </row>
    <row r="52" spans="1:11" s="137" customFormat="1" ht="18" hidden="1" customHeight="1" x14ac:dyDescent="0.35">
      <c r="A52" s="20"/>
      <c r="B52" s="8"/>
      <c r="C52" s="66" t="s">
        <v>237</v>
      </c>
      <c r="D52" s="677"/>
      <c r="E52" s="679"/>
      <c r="F52" s="42">
        <v>1</v>
      </c>
      <c r="G52" s="9">
        <v>219940.2</v>
      </c>
      <c r="H52" s="9">
        <f t="shared" si="2"/>
        <v>219940.2</v>
      </c>
      <c r="I52" s="381" t="s">
        <v>82</v>
      </c>
      <c r="J52" s="20" t="s">
        <v>103</v>
      </c>
      <c r="K52" s="153">
        <v>0.6697453703703703</v>
      </c>
    </row>
    <row r="53" spans="1:11" s="11" customFormat="1" ht="18" hidden="1" customHeight="1" x14ac:dyDescent="0.35">
      <c r="A53" s="20"/>
      <c r="B53" s="8"/>
      <c r="C53" s="66" t="s">
        <v>238</v>
      </c>
      <c r="D53" s="677"/>
      <c r="E53" s="679"/>
      <c r="F53" s="42">
        <v>1</v>
      </c>
      <c r="G53" s="9">
        <v>471515.4</v>
      </c>
      <c r="H53" s="9">
        <f t="shared" si="2"/>
        <v>471515.4</v>
      </c>
      <c r="I53" s="381" t="s">
        <v>82</v>
      </c>
      <c r="J53" s="20" t="s">
        <v>103</v>
      </c>
      <c r="K53" s="153">
        <v>0.6697453703703703</v>
      </c>
    </row>
    <row r="54" spans="1:11" s="11" customFormat="1" ht="18" hidden="1" customHeight="1" x14ac:dyDescent="0.35">
      <c r="A54" s="20"/>
      <c r="B54" s="8"/>
      <c r="C54" s="66" t="s">
        <v>239</v>
      </c>
      <c r="D54" s="677"/>
      <c r="E54" s="679"/>
      <c r="F54" s="42">
        <v>1</v>
      </c>
      <c r="G54" s="9">
        <v>1981496.7</v>
      </c>
      <c r="H54" s="9">
        <f t="shared" si="2"/>
        <v>1981496.7</v>
      </c>
      <c r="I54" s="381" t="s">
        <v>82</v>
      </c>
      <c r="J54" s="20" t="s">
        <v>103</v>
      </c>
      <c r="K54" s="153">
        <v>0.6697453703703703</v>
      </c>
    </row>
    <row r="55" spans="1:11" s="137" customFormat="1" ht="18" hidden="1" customHeight="1" x14ac:dyDescent="0.35">
      <c r="A55" s="217"/>
      <c r="B55" s="218"/>
      <c r="C55" s="234" t="s">
        <v>240</v>
      </c>
      <c r="D55" s="677"/>
      <c r="E55" s="679"/>
      <c r="F55" s="299">
        <v>1</v>
      </c>
      <c r="G55" s="329">
        <v>14081.85</v>
      </c>
      <c r="H55" s="329">
        <f t="shared" si="2"/>
        <v>14081.85</v>
      </c>
      <c r="I55" s="382" t="s">
        <v>82</v>
      </c>
      <c r="J55" s="217" t="s">
        <v>103</v>
      </c>
      <c r="K55" s="364">
        <v>0.6697453703703703</v>
      </c>
    </row>
    <row r="56" spans="1:11" s="11" customFormat="1" ht="18" hidden="1" customHeight="1" x14ac:dyDescent="0.35">
      <c r="A56" s="20"/>
      <c r="B56" s="8"/>
      <c r="C56" s="66" t="s">
        <v>241</v>
      </c>
      <c r="D56" s="677"/>
      <c r="E56" s="679"/>
      <c r="F56" s="42">
        <v>1</v>
      </c>
      <c r="G56" s="9">
        <v>19682.099999999999</v>
      </c>
      <c r="H56" s="9">
        <f t="shared" si="2"/>
        <v>19682.099999999999</v>
      </c>
      <c r="I56" s="381" t="s">
        <v>82</v>
      </c>
      <c r="J56" s="20" t="s">
        <v>103</v>
      </c>
      <c r="K56" s="153">
        <v>0.6697453703703703</v>
      </c>
    </row>
    <row r="57" spans="1:11" s="137" customFormat="1" ht="18" hidden="1" customHeight="1" x14ac:dyDescent="0.35">
      <c r="A57" s="217"/>
      <c r="B57" s="218"/>
      <c r="C57" s="234" t="s">
        <v>242</v>
      </c>
      <c r="D57" s="677"/>
      <c r="E57" s="679"/>
      <c r="F57" s="299">
        <v>2</v>
      </c>
      <c r="G57" s="329">
        <v>3937.5</v>
      </c>
      <c r="H57" s="329">
        <f t="shared" si="2"/>
        <v>7875</v>
      </c>
      <c r="I57" s="382" t="s">
        <v>82</v>
      </c>
      <c r="J57" s="217" t="s">
        <v>103</v>
      </c>
      <c r="K57" s="364">
        <v>0.6697453703703703</v>
      </c>
    </row>
    <row r="58" spans="1:11" s="11" customFormat="1" ht="18" hidden="1" customHeight="1" x14ac:dyDescent="0.35">
      <c r="A58" s="20"/>
      <c r="B58" s="8"/>
      <c r="C58" s="66" t="s">
        <v>243</v>
      </c>
      <c r="D58" s="677"/>
      <c r="E58" s="679"/>
      <c r="F58" s="42">
        <v>2</v>
      </c>
      <c r="G58" s="9">
        <v>100915.65</v>
      </c>
      <c r="H58" s="9">
        <f t="shared" si="2"/>
        <v>201831.3</v>
      </c>
      <c r="I58" s="381" t="s">
        <v>82</v>
      </c>
      <c r="J58" s="20" t="s">
        <v>103</v>
      </c>
      <c r="K58" s="153">
        <v>0.6697453703703703</v>
      </c>
    </row>
    <row r="59" spans="1:11" s="11" customFormat="1" ht="18" hidden="1" customHeight="1" x14ac:dyDescent="0.35">
      <c r="A59" s="20"/>
      <c r="B59" s="8"/>
      <c r="C59" s="66" t="s">
        <v>244</v>
      </c>
      <c r="D59" s="677"/>
      <c r="E59" s="679"/>
      <c r="F59" s="42">
        <v>1</v>
      </c>
      <c r="G59" s="9">
        <v>166477.04999999999</v>
      </c>
      <c r="H59" s="9">
        <f t="shared" si="2"/>
        <v>166477.04999999999</v>
      </c>
      <c r="I59" s="381" t="s">
        <v>82</v>
      </c>
      <c r="J59" s="20" t="s">
        <v>103</v>
      </c>
      <c r="K59" s="153">
        <v>0.6697453703703703</v>
      </c>
    </row>
    <row r="60" spans="1:11" s="11" customFormat="1" ht="18" hidden="1" customHeight="1" x14ac:dyDescent="0.35">
      <c r="A60" s="20"/>
      <c r="B60" s="8"/>
      <c r="C60" s="66" t="s">
        <v>245</v>
      </c>
      <c r="D60" s="677"/>
      <c r="E60" s="679"/>
      <c r="F60" s="42">
        <v>1</v>
      </c>
      <c r="G60" s="9">
        <v>200608.65</v>
      </c>
      <c r="H60" s="9">
        <f t="shared" si="2"/>
        <v>200608.65</v>
      </c>
      <c r="I60" s="381" t="s">
        <v>82</v>
      </c>
      <c r="J60" s="20" t="s">
        <v>103</v>
      </c>
      <c r="K60" s="153">
        <v>0.6697453703703703</v>
      </c>
    </row>
    <row r="61" spans="1:11" s="137" customFormat="1" ht="18" hidden="1" customHeight="1" x14ac:dyDescent="0.35">
      <c r="A61" s="20"/>
      <c r="B61" s="8"/>
      <c r="C61" s="66" t="s">
        <v>246</v>
      </c>
      <c r="D61" s="677"/>
      <c r="E61" s="679"/>
      <c r="F61" s="42">
        <v>1</v>
      </c>
      <c r="G61" s="9">
        <v>227370.15</v>
      </c>
      <c r="H61" s="9">
        <f t="shared" ref="H61:H66" si="3">G61*F61</f>
        <v>227370.15</v>
      </c>
      <c r="I61" s="381" t="s">
        <v>82</v>
      </c>
      <c r="J61" s="20" t="s">
        <v>103</v>
      </c>
      <c r="K61" s="153">
        <v>0.6697453703703703</v>
      </c>
    </row>
    <row r="62" spans="1:11" s="11" customFormat="1" ht="18" hidden="1" customHeight="1" x14ac:dyDescent="0.35">
      <c r="A62" s="20"/>
      <c r="B62" s="8"/>
      <c r="C62" s="66" t="s">
        <v>247</v>
      </c>
      <c r="D62" s="677"/>
      <c r="E62" s="679"/>
      <c r="F62" s="42">
        <v>1</v>
      </c>
      <c r="G62" s="9">
        <v>246043.35</v>
      </c>
      <c r="H62" s="9">
        <f t="shared" si="3"/>
        <v>246043.35</v>
      </c>
      <c r="I62" s="381" t="s">
        <v>82</v>
      </c>
      <c r="J62" s="20" t="s">
        <v>103</v>
      </c>
      <c r="K62" s="153">
        <v>0.6697453703703703</v>
      </c>
    </row>
    <row r="63" spans="1:11" s="11" customFormat="1" ht="18" hidden="1" customHeight="1" x14ac:dyDescent="0.35">
      <c r="A63" s="20"/>
      <c r="B63" s="8"/>
      <c r="C63" s="66" t="s">
        <v>248</v>
      </c>
      <c r="D63" s="677"/>
      <c r="E63" s="679"/>
      <c r="F63" s="42">
        <v>1</v>
      </c>
      <c r="G63" s="9">
        <v>284407.2</v>
      </c>
      <c r="H63" s="9">
        <f t="shared" si="3"/>
        <v>284407.2</v>
      </c>
      <c r="I63" s="381" t="s">
        <v>82</v>
      </c>
      <c r="J63" s="20" t="s">
        <v>103</v>
      </c>
      <c r="K63" s="153">
        <v>0.6697453703703703</v>
      </c>
    </row>
    <row r="64" spans="1:11" s="11" customFormat="1" ht="18" hidden="1" customHeight="1" x14ac:dyDescent="0.35">
      <c r="A64" s="20"/>
      <c r="B64" s="8"/>
      <c r="C64" s="66" t="s">
        <v>249</v>
      </c>
      <c r="D64" s="677"/>
      <c r="E64" s="679"/>
      <c r="F64" s="42">
        <v>1</v>
      </c>
      <c r="G64" s="9">
        <v>212116.95</v>
      </c>
      <c r="H64" s="9">
        <f t="shared" si="3"/>
        <v>212116.95</v>
      </c>
      <c r="I64" s="381" t="s">
        <v>82</v>
      </c>
      <c r="J64" s="20" t="s">
        <v>103</v>
      </c>
      <c r="K64" s="153">
        <v>0.6697453703703703</v>
      </c>
    </row>
    <row r="65" spans="1:11" s="11" customFormat="1" ht="18" hidden="1" customHeight="1" x14ac:dyDescent="0.35">
      <c r="A65" s="20"/>
      <c r="B65" s="8"/>
      <c r="C65" s="66" t="s">
        <v>250</v>
      </c>
      <c r="D65" s="677"/>
      <c r="E65" s="679"/>
      <c r="F65" s="42">
        <v>1</v>
      </c>
      <c r="G65" s="9">
        <v>212116.95</v>
      </c>
      <c r="H65" s="9">
        <f t="shared" si="3"/>
        <v>212116.95</v>
      </c>
      <c r="I65" s="381" t="s">
        <v>82</v>
      </c>
      <c r="J65" s="20" t="s">
        <v>103</v>
      </c>
      <c r="K65" s="153">
        <v>0.6697453703703703</v>
      </c>
    </row>
    <row r="66" spans="1:11" s="11" customFormat="1" ht="18" hidden="1" customHeight="1" x14ac:dyDescent="0.35">
      <c r="A66" s="20"/>
      <c r="B66" s="8"/>
      <c r="C66" s="66" t="s">
        <v>251</v>
      </c>
      <c r="D66" s="677"/>
      <c r="E66" s="679"/>
      <c r="F66" s="42">
        <v>1</v>
      </c>
      <c r="G66" s="9">
        <v>398310.3</v>
      </c>
      <c r="H66" s="9">
        <f t="shared" si="3"/>
        <v>398310.3</v>
      </c>
      <c r="I66" s="381" t="s">
        <v>82</v>
      </c>
      <c r="J66" s="20" t="s">
        <v>103</v>
      </c>
      <c r="K66" s="153">
        <v>0.6697453703703703</v>
      </c>
    </row>
    <row r="67" spans="1:11" s="11" customFormat="1" ht="18" hidden="1" customHeight="1" x14ac:dyDescent="0.35">
      <c r="A67" s="20"/>
      <c r="B67" s="8"/>
      <c r="C67" s="66" t="s">
        <v>246</v>
      </c>
      <c r="D67" s="677"/>
      <c r="E67" s="679"/>
      <c r="F67" s="42">
        <v>1</v>
      </c>
      <c r="G67" s="9">
        <v>139638.6</v>
      </c>
      <c r="H67" s="9">
        <f t="shared" ref="H67:H87" si="4">G67*F67</f>
        <v>139638.6</v>
      </c>
      <c r="I67" s="381" t="s">
        <v>82</v>
      </c>
      <c r="J67" s="20" t="s">
        <v>103</v>
      </c>
      <c r="K67" s="153">
        <v>0.6697453703703703</v>
      </c>
    </row>
    <row r="68" spans="1:11" s="11" customFormat="1" ht="18" hidden="1" customHeight="1" x14ac:dyDescent="0.35">
      <c r="A68" s="20"/>
      <c r="B68" s="8"/>
      <c r="C68" s="66" t="s">
        <v>244</v>
      </c>
      <c r="D68" s="677"/>
      <c r="E68" s="679"/>
      <c r="F68" s="42">
        <v>2</v>
      </c>
      <c r="G68" s="9">
        <v>166477.04999999999</v>
      </c>
      <c r="H68" s="9">
        <f t="shared" si="4"/>
        <v>332954.09999999998</v>
      </c>
      <c r="I68" s="381" t="s">
        <v>82</v>
      </c>
      <c r="J68" s="20" t="s">
        <v>103</v>
      </c>
      <c r="K68" s="153">
        <v>0.6697453703703703</v>
      </c>
    </row>
    <row r="69" spans="1:11" s="11" customFormat="1" ht="18" hidden="1" customHeight="1" x14ac:dyDescent="0.35">
      <c r="A69" s="20"/>
      <c r="B69" s="8"/>
      <c r="C69" s="66" t="s">
        <v>252</v>
      </c>
      <c r="D69" s="678"/>
      <c r="E69" s="669"/>
      <c r="F69" s="42">
        <v>1</v>
      </c>
      <c r="G69" s="9">
        <v>422788.95</v>
      </c>
      <c r="H69" s="9">
        <f t="shared" si="4"/>
        <v>422788.95</v>
      </c>
      <c r="I69" s="381" t="s">
        <v>82</v>
      </c>
      <c r="J69" s="20" t="s">
        <v>103</v>
      </c>
      <c r="K69" s="153">
        <v>0.6697453703703703</v>
      </c>
    </row>
    <row r="70" spans="1:11" s="137" customFormat="1" ht="19.25" hidden="1" customHeight="1" x14ac:dyDescent="0.35">
      <c r="A70" s="217"/>
      <c r="B70" s="218"/>
      <c r="C70" s="370" t="s">
        <v>254</v>
      </c>
      <c r="D70" s="770" t="s">
        <v>380</v>
      </c>
      <c r="E70" s="771">
        <v>0.63362268518518516</v>
      </c>
      <c r="F70" s="299">
        <v>100</v>
      </c>
      <c r="G70" s="361">
        <v>187</v>
      </c>
      <c r="H70" s="329">
        <f t="shared" ref="H70:H75" si="5">G70*F70</f>
        <v>18700</v>
      </c>
      <c r="I70" s="382" t="s">
        <v>82</v>
      </c>
      <c r="J70" s="362" t="s">
        <v>43</v>
      </c>
      <c r="K70" s="363">
        <v>0.46141203703703698</v>
      </c>
    </row>
    <row r="71" spans="1:11" s="137" customFormat="1" ht="19.25" hidden="1" customHeight="1" x14ac:dyDescent="0.35">
      <c r="A71" s="217"/>
      <c r="B71" s="218"/>
      <c r="C71" s="370" t="s">
        <v>255</v>
      </c>
      <c r="D71" s="770"/>
      <c r="E71" s="771"/>
      <c r="F71" s="299">
        <v>100</v>
      </c>
      <c r="G71" s="361">
        <v>187</v>
      </c>
      <c r="H71" s="329">
        <f t="shared" si="5"/>
        <v>18700</v>
      </c>
      <c r="I71" s="382" t="s">
        <v>82</v>
      </c>
      <c r="J71" s="362" t="s">
        <v>43</v>
      </c>
      <c r="K71" s="363">
        <v>0.46141203703703698</v>
      </c>
    </row>
    <row r="72" spans="1:11" s="137" customFormat="1" ht="19.25" hidden="1" customHeight="1" x14ac:dyDescent="0.35">
      <c r="A72" s="217"/>
      <c r="B72" s="218"/>
      <c r="C72" s="370" t="s">
        <v>256</v>
      </c>
      <c r="D72" s="770"/>
      <c r="E72" s="771"/>
      <c r="F72" s="299">
        <v>100</v>
      </c>
      <c r="G72" s="361">
        <v>187</v>
      </c>
      <c r="H72" s="329">
        <f t="shared" si="5"/>
        <v>18700</v>
      </c>
      <c r="I72" s="382" t="s">
        <v>82</v>
      </c>
      <c r="J72" s="362" t="s">
        <v>43</v>
      </c>
      <c r="K72" s="363">
        <v>0.46141203703703698</v>
      </c>
    </row>
    <row r="73" spans="1:11" s="137" customFormat="1" ht="19.25" hidden="1" customHeight="1" x14ac:dyDescent="0.35">
      <c r="A73" s="217"/>
      <c r="B73" s="218"/>
      <c r="C73" s="370" t="s">
        <v>257</v>
      </c>
      <c r="D73" s="770"/>
      <c r="E73" s="771"/>
      <c r="F73" s="299">
        <v>100</v>
      </c>
      <c r="G73" s="361">
        <v>187</v>
      </c>
      <c r="H73" s="329">
        <f t="shared" si="5"/>
        <v>18700</v>
      </c>
      <c r="I73" s="382" t="s">
        <v>82</v>
      </c>
      <c r="J73" s="362" t="s">
        <v>43</v>
      </c>
      <c r="K73" s="363">
        <v>0.46141203703703698</v>
      </c>
    </row>
    <row r="74" spans="1:11" s="137" customFormat="1" ht="19.25" hidden="1" customHeight="1" x14ac:dyDescent="0.35">
      <c r="A74" s="217"/>
      <c r="B74" s="218"/>
      <c r="C74" s="370" t="s">
        <v>261</v>
      </c>
      <c r="D74" s="770"/>
      <c r="E74" s="771"/>
      <c r="F74" s="299">
        <v>100</v>
      </c>
      <c r="G74" s="361">
        <v>314.5</v>
      </c>
      <c r="H74" s="329">
        <f>G74*F74</f>
        <v>31450</v>
      </c>
      <c r="I74" s="382" t="s">
        <v>82</v>
      </c>
      <c r="J74" s="362" t="s">
        <v>43</v>
      </c>
      <c r="K74" s="363">
        <v>0.46141203703703698</v>
      </c>
    </row>
    <row r="75" spans="1:11" s="137" customFormat="1" ht="19.25" hidden="1" customHeight="1" x14ac:dyDescent="0.35">
      <c r="A75" s="217"/>
      <c r="B75" s="218"/>
      <c r="C75" s="370" t="s">
        <v>258</v>
      </c>
      <c r="D75" s="770"/>
      <c r="E75" s="771"/>
      <c r="F75" s="299">
        <v>100</v>
      </c>
      <c r="G75" s="361">
        <v>187</v>
      </c>
      <c r="H75" s="329">
        <f t="shared" si="5"/>
        <v>18700</v>
      </c>
      <c r="I75" s="382" t="s">
        <v>82</v>
      </c>
      <c r="J75" s="362" t="s">
        <v>43</v>
      </c>
      <c r="K75" s="363">
        <v>0.46141203703703698</v>
      </c>
    </row>
    <row r="76" spans="1:11" s="185" customFormat="1" ht="19.25" hidden="1" customHeight="1" x14ac:dyDescent="0.35">
      <c r="A76" s="167"/>
      <c r="B76" s="168"/>
      <c r="C76" s="71" t="s">
        <v>264</v>
      </c>
      <c r="D76" s="20" t="s">
        <v>263</v>
      </c>
      <c r="E76" s="153">
        <v>0.84195601851851853</v>
      </c>
      <c r="F76" s="20">
        <v>2</v>
      </c>
      <c r="G76" s="9">
        <v>176660.1</v>
      </c>
      <c r="H76" s="9">
        <f t="shared" si="4"/>
        <v>353320.2</v>
      </c>
      <c r="I76" s="381" t="s">
        <v>520</v>
      </c>
      <c r="J76" s="21" t="s">
        <v>51</v>
      </c>
      <c r="K76" s="34">
        <v>0.46141203703703698</v>
      </c>
    </row>
    <row r="77" spans="1:11" s="137" customFormat="1" ht="19.25" hidden="1" customHeight="1" x14ac:dyDescent="0.35">
      <c r="A77" s="217"/>
      <c r="B77" s="218"/>
      <c r="C77" s="358" t="s">
        <v>265</v>
      </c>
      <c r="D77" s="754" t="s">
        <v>284</v>
      </c>
      <c r="E77" s="739">
        <v>0.84195601851851853</v>
      </c>
      <c r="F77" s="299">
        <v>2</v>
      </c>
      <c r="G77" s="361">
        <v>876734.1</v>
      </c>
      <c r="H77" s="329">
        <f t="shared" si="4"/>
        <v>1753468.2</v>
      </c>
      <c r="I77" s="382" t="s">
        <v>82</v>
      </c>
      <c r="J77" s="362" t="s">
        <v>43</v>
      </c>
      <c r="K77" s="363">
        <v>0.46141203703703698</v>
      </c>
    </row>
    <row r="78" spans="1:11" s="137" customFormat="1" ht="19.25" hidden="1" customHeight="1" x14ac:dyDescent="0.35">
      <c r="A78" s="217"/>
      <c r="B78" s="218"/>
      <c r="C78" s="358" t="s">
        <v>266</v>
      </c>
      <c r="D78" s="754"/>
      <c r="E78" s="739"/>
      <c r="F78" s="299">
        <v>4</v>
      </c>
      <c r="G78" s="361">
        <v>9502.5</v>
      </c>
      <c r="H78" s="329">
        <f t="shared" si="4"/>
        <v>38010</v>
      </c>
      <c r="I78" s="382" t="s">
        <v>82</v>
      </c>
      <c r="J78" s="362" t="s">
        <v>43</v>
      </c>
      <c r="K78" s="363">
        <v>0.46141203703703698</v>
      </c>
    </row>
    <row r="79" spans="1:11" s="11" customFormat="1" ht="19.25" hidden="1" customHeight="1" x14ac:dyDescent="0.35">
      <c r="A79" s="20"/>
      <c r="B79" s="8"/>
      <c r="C79" s="189" t="s">
        <v>267</v>
      </c>
      <c r="D79" s="754"/>
      <c r="E79" s="739"/>
      <c r="F79" s="42">
        <v>4</v>
      </c>
      <c r="G79" s="235">
        <v>41399.1</v>
      </c>
      <c r="H79" s="9">
        <f t="shared" si="4"/>
        <v>165596.4</v>
      </c>
      <c r="I79" s="381" t="s">
        <v>82</v>
      </c>
      <c r="J79" s="21" t="s">
        <v>43</v>
      </c>
      <c r="K79" s="34">
        <v>0.46141203703703698</v>
      </c>
    </row>
    <row r="80" spans="1:11" s="11" customFormat="1" ht="19.25" hidden="1" customHeight="1" x14ac:dyDescent="0.35">
      <c r="A80" s="20"/>
      <c r="B80" s="8"/>
      <c r="C80" s="189" t="s">
        <v>268</v>
      </c>
      <c r="D80" s="754"/>
      <c r="E80" s="739"/>
      <c r="F80" s="42">
        <v>5</v>
      </c>
      <c r="G80" s="235">
        <v>246624.75</v>
      </c>
      <c r="H80" s="9">
        <f t="shared" si="4"/>
        <v>1233123.75</v>
      </c>
      <c r="I80" s="381" t="s">
        <v>82</v>
      </c>
      <c r="J80" s="21" t="s">
        <v>43</v>
      </c>
      <c r="K80" s="34">
        <v>0.46141203703703698</v>
      </c>
    </row>
    <row r="81" spans="1:11" s="137" customFormat="1" ht="19.25" hidden="1" customHeight="1" x14ac:dyDescent="0.35">
      <c r="A81" s="217"/>
      <c r="B81" s="218"/>
      <c r="C81" s="358" t="s">
        <v>269</v>
      </c>
      <c r="D81" s="754"/>
      <c r="E81" s="739"/>
      <c r="F81" s="299">
        <v>6</v>
      </c>
      <c r="G81" s="361">
        <v>5167.5</v>
      </c>
      <c r="H81" s="329">
        <f t="shared" si="4"/>
        <v>31005</v>
      </c>
      <c r="I81" s="382" t="s">
        <v>82</v>
      </c>
      <c r="J81" s="362" t="s">
        <v>43</v>
      </c>
      <c r="K81" s="363">
        <v>0.46141203703703698</v>
      </c>
    </row>
    <row r="82" spans="1:11" s="137" customFormat="1" ht="19.25" hidden="1" customHeight="1" x14ac:dyDescent="0.35">
      <c r="A82" s="217"/>
      <c r="B82" s="218"/>
      <c r="C82" s="358" t="s">
        <v>270</v>
      </c>
      <c r="D82" s="677" t="s">
        <v>285</v>
      </c>
      <c r="E82" s="679">
        <v>0.84195601851851853</v>
      </c>
      <c r="F82" s="299">
        <v>2</v>
      </c>
      <c r="G82" s="361">
        <v>4080</v>
      </c>
      <c r="H82" s="329">
        <f t="shared" si="4"/>
        <v>8160</v>
      </c>
      <c r="I82" s="382" t="s">
        <v>82</v>
      </c>
      <c r="J82" s="362" t="s">
        <v>51</v>
      </c>
      <c r="K82" s="363">
        <v>0.46141203703703698</v>
      </c>
    </row>
    <row r="83" spans="1:11" s="11" customFormat="1" ht="19.25" hidden="1" customHeight="1" x14ac:dyDescent="0.35">
      <c r="A83" s="20"/>
      <c r="B83" s="8"/>
      <c r="C83" s="189" t="s">
        <v>271</v>
      </c>
      <c r="D83" s="677"/>
      <c r="E83" s="679"/>
      <c r="F83" s="42">
        <v>5</v>
      </c>
      <c r="G83" s="235">
        <v>133585.20000000001</v>
      </c>
      <c r="H83" s="9">
        <f t="shared" si="4"/>
        <v>667926</v>
      </c>
      <c r="I83" s="381" t="s">
        <v>82</v>
      </c>
      <c r="J83" s="21" t="s">
        <v>43</v>
      </c>
      <c r="K83" s="34">
        <v>0.46141203703703698</v>
      </c>
    </row>
    <row r="84" spans="1:11" s="137" customFormat="1" ht="19.25" hidden="1" customHeight="1" x14ac:dyDescent="0.35">
      <c r="A84" s="217"/>
      <c r="B84" s="218"/>
      <c r="C84" s="358" t="s">
        <v>272</v>
      </c>
      <c r="D84" s="677"/>
      <c r="E84" s="679"/>
      <c r="F84" s="299">
        <v>7</v>
      </c>
      <c r="G84" s="361">
        <v>8025</v>
      </c>
      <c r="H84" s="329">
        <f t="shared" si="4"/>
        <v>56175</v>
      </c>
      <c r="I84" s="382" t="s">
        <v>82</v>
      </c>
      <c r="J84" s="362" t="s">
        <v>43</v>
      </c>
      <c r="K84" s="363">
        <v>0.46141203703703698</v>
      </c>
    </row>
    <row r="85" spans="1:11" s="137" customFormat="1" ht="19.25" hidden="1" customHeight="1" x14ac:dyDescent="0.35">
      <c r="A85" s="217"/>
      <c r="B85" s="218"/>
      <c r="C85" s="358" t="s">
        <v>273</v>
      </c>
      <c r="D85" s="677"/>
      <c r="E85" s="679"/>
      <c r="F85" s="299">
        <v>9</v>
      </c>
      <c r="G85" s="361">
        <v>3765</v>
      </c>
      <c r="H85" s="329">
        <f t="shared" si="4"/>
        <v>33885</v>
      </c>
      <c r="I85" s="382" t="s">
        <v>82</v>
      </c>
      <c r="J85" s="362" t="s">
        <v>43</v>
      </c>
      <c r="K85" s="363">
        <v>0.46141203703703698</v>
      </c>
    </row>
    <row r="86" spans="1:11" s="11" customFormat="1" ht="19.25" hidden="1" customHeight="1" x14ac:dyDescent="0.35">
      <c r="A86" s="20"/>
      <c r="B86" s="8"/>
      <c r="C86" s="189" t="s">
        <v>274</v>
      </c>
      <c r="D86" s="677"/>
      <c r="E86" s="679"/>
      <c r="F86" s="42">
        <v>22</v>
      </c>
      <c r="G86" s="235">
        <v>3420</v>
      </c>
      <c r="H86" s="9">
        <f t="shared" si="4"/>
        <v>75240</v>
      </c>
      <c r="I86" s="381" t="s">
        <v>82</v>
      </c>
      <c r="J86" s="21" t="s">
        <v>43</v>
      </c>
      <c r="K86" s="34">
        <v>0.46141203703703698</v>
      </c>
    </row>
    <row r="87" spans="1:11" s="137" customFormat="1" ht="19.25" hidden="1" customHeight="1" x14ac:dyDescent="0.35">
      <c r="A87" s="217"/>
      <c r="B87" s="218"/>
      <c r="C87" s="358" t="s">
        <v>275</v>
      </c>
      <c r="D87" s="677"/>
      <c r="E87" s="679"/>
      <c r="F87" s="299">
        <v>7</v>
      </c>
      <c r="G87" s="361">
        <v>5167.5</v>
      </c>
      <c r="H87" s="329">
        <f t="shared" si="4"/>
        <v>36172.5</v>
      </c>
      <c r="I87" s="382" t="s">
        <v>82</v>
      </c>
      <c r="J87" s="362" t="s">
        <v>43</v>
      </c>
      <c r="K87" s="363">
        <v>0.46141203703703698</v>
      </c>
    </row>
    <row r="88" spans="1:11" s="137" customFormat="1" ht="19.25" hidden="1" customHeight="1" x14ac:dyDescent="0.35">
      <c r="A88" s="217"/>
      <c r="B88" s="218"/>
      <c r="C88" s="358" t="s">
        <v>276</v>
      </c>
      <c r="D88" s="677"/>
      <c r="E88" s="679"/>
      <c r="F88" s="299">
        <v>3</v>
      </c>
      <c r="G88" s="361">
        <v>8721</v>
      </c>
      <c r="H88" s="329">
        <f>G88*F88</f>
        <v>26163</v>
      </c>
      <c r="I88" s="382" t="s">
        <v>82</v>
      </c>
      <c r="J88" s="362" t="s">
        <v>51</v>
      </c>
      <c r="K88" s="363">
        <v>0.46141203703703698</v>
      </c>
    </row>
    <row r="89" spans="1:11" s="11" customFormat="1" ht="19.25" hidden="1" customHeight="1" x14ac:dyDescent="0.35">
      <c r="A89" s="20"/>
      <c r="B89" s="8"/>
      <c r="C89" s="189" t="s">
        <v>271</v>
      </c>
      <c r="D89" s="678"/>
      <c r="E89" s="669"/>
      <c r="F89" s="42">
        <v>5</v>
      </c>
      <c r="G89" s="235">
        <v>133585.20000000001</v>
      </c>
      <c r="H89" s="9">
        <f>G89*F89</f>
        <v>667926</v>
      </c>
      <c r="I89" s="381" t="s">
        <v>82</v>
      </c>
      <c r="J89" s="21" t="s">
        <v>43</v>
      </c>
      <c r="K89" s="34">
        <v>0.46141203703703698</v>
      </c>
    </row>
    <row r="90" spans="1:11" s="137" customFormat="1" ht="19.25" hidden="1" customHeight="1" x14ac:dyDescent="0.35">
      <c r="A90" s="217"/>
      <c r="B90" s="218"/>
      <c r="C90" s="358" t="s">
        <v>378</v>
      </c>
      <c r="D90" s="359" t="s">
        <v>379</v>
      </c>
      <c r="E90" s="360">
        <v>0.84195601851851853</v>
      </c>
      <c r="F90" s="299">
        <v>2</v>
      </c>
      <c r="G90" s="361">
        <v>5167.5</v>
      </c>
      <c r="H90" s="329">
        <f>G90*F90</f>
        <v>10335</v>
      </c>
      <c r="I90" s="382" t="s">
        <v>38</v>
      </c>
      <c r="J90" s="362" t="s">
        <v>146</v>
      </c>
      <c r="K90" s="363"/>
    </row>
    <row r="91" spans="1:11" s="137" customFormat="1" ht="19.25" hidden="1" customHeight="1" x14ac:dyDescent="0.35">
      <c r="A91" s="217"/>
      <c r="B91" s="218"/>
      <c r="C91" s="370" t="s">
        <v>287</v>
      </c>
      <c r="D91" s="217" t="s">
        <v>311</v>
      </c>
      <c r="E91" s="364" t="s">
        <v>313</v>
      </c>
      <c r="F91" s="217">
        <v>5</v>
      </c>
      <c r="G91" s="329">
        <v>3937.5</v>
      </c>
      <c r="H91" s="329">
        <f>G91*F91</f>
        <v>19687.5</v>
      </c>
      <c r="I91" s="382" t="s">
        <v>82</v>
      </c>
      <c r="J91" s="362" t="s">
        <v>66</v>
      </c>
      <c r="K91" s="363">
        <v>0.46141203703703698</v>
      </c>
    </row>
    <row r="92" spans="1:11" s="11" customFormat="1" ht="19.25" hidden="1" customHeight="1" x14ac:dyDescent="0.35">
      <c r="A92" s="20"/>
      <c r="B92" s="8"/>
      <c r="C92" s="71" t="s">
        <v>291</v>
      </c>
      <c r="D92" s="20" t="s">
        <v>312</v>
      </c>
      <c r="E92" s="153" t="s">
        <v>313</v>
      </c>
      <c r="F92" s="42">
        <v>9</v>
      </c>
      <c r="G92" s="235">
        <v>4080</v>
      </c>
      <c r="H92" s="9">
        <f>G92*F92</f>
        <v>36720</v>
      </c>
      <c r="I92" s="381" t="s">
        <v>315</v>
      </c>
      <c r="J92" s="21" t="s">
        <v>66</v>
      </c>
      <c r="K92" s="34">
        <v>0.46141203703703698</v>
      </c>
    </row>
    <row r="93" spans="1:11" s="137" customFormat="1" ht="29" hidden="1" x14ac:dyDescent="0.35">
      <c r="A93" s="217"/>
      <c r="B93" s="218"/>
      <c r="C93" s="370" t="s">
        <v>293</v>
      </c>
      <c r="D93" s="676" t="s">
        <v>314</v>
      </c>
      <c r="E93" s="676" t="s">
        <v>313</v>
      </c>
      <c r="F93" s="371">
        <v>1</v>
      </c>
      <c r="G93" s="361">
        <v>8986.0499999999993</v>
      </c>
      <c r="H93" s="329">
        <f t="shared" ref="H93:H111" si="6">G93*F93</f>
        <v>8986.0499999999993</v>
      </c>
      <c r="I93" s="382" t="s">
        <v>82</v>
      </c>
      <c r="J93" s="362" t="s">
        <v>43</v>
      </c>
      <c r="K93" s="363">
        <v>0.75307870370370367</v>
      </c>
    </row>
    <row r="94" spans="1:11" s="11" customFormat="1" ht="19.25" hidden="1" customHeight="1" x14ac:dyDescent="0.35">
      <c r="A94" s="20"/>
      <c r="B94" s="8"/>
      <c r="C94" s="71" t="s">
        <v>310</v>
      </c>
      <c r="D94" s="677"/>
      <c r="E94" s="677"/>
      <c r="F94" s="183">
        <v>1</v>
      </c>
      <c r="G94" s="235">
        <v>20648.25</v>
      </c>
      <c r="H94" s="9">
        <f t="shared" si="6"/>
        <v>20648.25</v>
      </c>
      <c r="I94" s="381" t="s">
        <v>82</v>
      </c>
      <c r="J94" s="21" t="s">
        <v>43</v>
      </c>
      <c r="K94" s="34">
        <v>0.25307870370370372</v>
      </c>
    </row>
    <row r="95" spans="1:11" s="11" customFormat="1" ht="19.25" hidden="1" customHeight="1" x14ac:dyDescent="0.35">
      <c r="A95" s="20"/>
      <c r="B95" s="8"/>
      <c r="C95" s="71" t="s">
        <v>294</v>
      </c>
      <c r="D95" s="677"/>
      <c r="E95" s="677"/>
      <c r="F95" s="183">
        <v>1</v>
      </c>
      <c r="G95" s="235">
        <v>73589.850000000006</v>
      </c>
      <c r="H95" s="9">
        <f t="shared" si="6"/>
        <v>73589.850000000006</v>
      </c>
      <c r="I95" s="381" t="s">
        <v>82</v>
      </c>
      <c r="J95" s="21" t="s">
        <v>43</v>
      </c>
      <c r="K95" s="34">
        <v>0.25307870370370372</v>
      </c>
    </row>
    <row r="96" spans="1:11" s="137" customFormat="1" ht="19.25" hidden="1" customHeight="1" x14ac:dyDescent="0.35">
      <c r="A96" s="217"/>
      <c r="B96" s="218"/>
      <c r="C96" s="370" t="s">
        <v>295</v>
      </c>
      <c r="D96" s="677"/>
      <c r="E96" s="677"/>
      <c r="F96" s="371">
        <v>2</v>
      </c>
      <c r="G96" s="361">
        <v>1020</v>
      </c>
      <c r="H96" s="329">
        <f t="shared" si="6"/>
        <v>2040</v>
      </c>
      <c r="I96" s="382" t="s">
        <v>82</v>
      </c>
      <c r="J96" s="362" t="s">
        <v>43</v>
      </c>
      <c r="K96" s="363">
        <v>0.25307870370370372</v>
      </c>
    </row>
    <row r="97" spans="1:11" s="137" customFormat="1" ht="19.25" hidden="1" customHeight="1" x14ac:dyDescent="0.35">
      <c r="A97" s="217"/>
      <c r="B97" s="218"/>
      <c r="C97" s="370" t="s">
        <v>296</v>
      </c>
      <c r="D97" s="677"/>
      <c r="E97" s="677"/>
      <c r="F97" s="371">
        <v>2</v>
      </c>
      <c r="G97" s="361">
        <v>33028.65</v>
      </c>
      <c r="H97" s="329">
        <f t="shared" si="6"/>
        <v>66057.3</v>
      </c>
      <c r="I97" s="382" t="s">
        <v>82</v>
      </c>
      <c r="J97" s="362" t="s">
        <v>43</v>
      </c>
      <c r="K97" s="363">
        <v>0.25307870370370372</v>
      </c>
    </row>
    <row r="98" spans="1:11" s="11" customFormat="1" ht="19.25" hidden="1" customHeight="1" x14ac:dyDescent="0.35">
      <c r="A98" s="20"/>
      <c r="B98" s="8"/>
      <c r="C98" s="71" t="s">
        <v>297</v>
      </c>
      <c r="D98" s="677"/>
      <c r="E98" s="677"/>
      <c r="F98" s="183">
        <v>2</v>
      </c>
      <c r="G98" s="235">
        <v>1192.5</v>
      </c>
      <c r="H98" s="9">
        <f t="shared" si="6"/>
        <v>2385</v>
      </c>
      <c r="I98" s="381" t="s">
        <v>82</v>
      </c>
      <c r="J98" s="21" t="s">
        <v>43</v>
      </c>
      <c r="K98" s="34">
        <v>0.25307870370370372</v>
      </c>
    </row>
    <row r="99" spans="1:11" s="11" customFormat="1" ht="19.25" hidden="1" customHeight="1" x14ac:dyDescent="0.35">
      <c r="A99" s="20"/>
      <c r="B99" s="8"/>
      <c r="C99" s="71" t="s">
        <v>299</v>
      </c>
      <c r="D99" s="677"/>
      <c r="E99" s="677"/>
      <c r="F99" s="183">
        <v>1</v>
      </c>
      <c r="G99" s="235">
        <v>215254.8</v>
      </c>
      <c r="H99" s="9">
        <f t="shared" si="6"/>
        <v>215254.8</v>
      </c>
      <c r="I99" s="381" t="s">
        <v>82</v>
      </c>
      <c r="J99" s="21" t="s">
        <v>43</v>
      </c>
      <c r="K99" s="34">
        <v>0.25307870370370372</v>
      </c>
    </row>
    <row r="100" spans="1:11" s="137" customFormat="1" ht="19.25" hidden="1" customHeight="1" x14ac:dyDescent="0.35">
      <c r="A100" s="217"/>
      <c r="B100" s="218"/>
      <c r="C100" s="370" t="s">
        <v>298</v>
      </c>
      <c r="D100" s="677"/>
      <c r="E100" s="677"/>
      <c r="F100" s="371">
        <v>2</v>
      </c>
      <c r="G100" s="361">
        <v>6651.9</v>
      </c>
      <c r="H100" s="329">
        <f t="shared" si="6"/>
        <v>13303.8</v>
      </c>
      <c r="I100" s="382" t="s">
        <v>82</v>
      </c>
      <c r="J100" s="362" t="s">
        <v>43</v>
      </c>
      <c r="K100" s="363">
        <v>0.25307870370370372</v>
      </c>
    </row>
    <row r="101" spans="1:11" s="137" customFormat="1" ht="19.25" hidden="1" customHeight="1" x14ac:dyDescent="0.35">
      <c r="A101" s="217"/>
      <c r="B101" s="218"/>
      <c r="C101" s="370" t="s">
        <v>300</v>
      </c>
      <c r="D101" s="677"/>
      <c r="E101" s="677"/>
      <c r="F101" s="371">
        <v>1</v>
      </c>
      <c r="G101" s="361">
        <v>11174.85</v>
      </c>
      <c r="H101" s="329">
        <f t="shared" si="6"/>
        <v>11174.85</v>
      </c>
      <c r="I101" s="382" t="s">
        <v>82</v>
      </c>
      <c r="J101" s="362" t="s">
        <v>43</v>
      </c>
      <c r="K101" s="363">
        <v>0.25307870370370372</v>
      </c>
    </row>
    <row r="102" spans="1:11" s="137" customFormat="1" ht="19.25" hidden="1" customHeight="1" x14ac:dyDescent="0.35">
      <c r="A102" s="217"/>
      <c r="B102" s="218"/>
      <c r="C102" s="370" t="s">
        <v>301</v>
      </c>
      <c r="D102" s="677"/>
      <c r="E102" s="677"/>
      <c r="F102" s="371">
        <v>1</v>
      </c>
      <c r="G102" s="361">
        <v>16219.35</v>
      </c>
      <c r="H102" s="329">
        <f t="shared" si="6"/>
        <v>16219.35</v>
      </c>
      <c r="I102" s="382" t="s">
        <v>82</v>
      </c>
      <c r="J102" s="362" t="s">
        <v>43</v>
      </c>
      <c r="K102" s="363">
        <v>0.25307870370370372</v>
      </c>
    </row>
    <row r="103" spans="1:11" s="185" customFormat="1" ht="19.25" hidden="1" customHeight="1" x14ac:dyDescent="0.35">
      <c r="A103" s="167"/>
      <c r="B103" s="168"/>
      <c r="C103" s="71" t="s">
        <v>302</v>
      </c>
      <c r="D103" s="677"/>
      <c r="E103" s="677"/>
      <c r="F103" s="183">
        <v>1</v>
      </c>
      <c r="G103" s="235">
        <v>3907.5</v>
      </c>
      <c r="H103" s="9">
        <f t="shared" si="6"/>
        <v>3907.5</v>
      </c>
      <c r="I103" s="381" t="s">
        <v>82</v>
      </c>
      <c r="J103" s="21" t="s">
        <v>43</v>
      </c>
      <c r="K103" s="34">
        <v>0.25307870370370372</v>
      </c>
    </row>
    <row r="104" spans="1:11" s="11" customFormat="1" ht="19.25" hidden="1" customHeight="1" x14ac:dyDescent="0.35">
      <c r="A104" s="20"/>
      <c r="B104" s="8"/>
      <c r="C104" s="71" t="s">
        <v>303</v>
      </c>
      <c r="D104" s="677"/>
      <c r="E104" s="677"/>
      <c r="F104" s="183">
        <v>1</v>
      </c>
      <c r="G104" s="235">
        <v>9502.5</v>
      </c>
      <c r="H104" s="9">
        <f t="shared" si="6"/>
        <v>9502.5</v>
      </c>
      <c r="I104" s="381" t="s">
        <v>82</v>
      </c>
      <c r="J104" s="21" t="s">
        <v>43</v>
      </c>
      <c r="K104" s="34">
        <v>0.25307870370370372</v>
      </c>
    </row>
    <row r="105" spans="1:11" s="137" customFormat="1" ht="19.25" hidden="1" customHeight="1" x14ac:dyDescent="0.35">
      <c r="A105" s="217"/>
      <c r="B105" s="218"/>
      <c r="C105" s="370" t="s">
        <v>304</v>
      </c>
      <c r="D105" s="677"/>
      <c r="E105" s="677"/>
      <c r="F105" s="371">
        <v>1</v>
      </c>
      <c r="G105" s="361">
        <v>63988.2</v>
      </c>
      <c r="H105" s="329">
        <f t="shared" si="6"/>
        <v>63988.2</v>
      </c>
      <c r="I105" s="382" t="s">
        <v>82</v>
      </c>
      <c r="J105" s="362" t="s">
        <v>43</v>
      </c>
      <c r="K105" s="363">
        <v>0.25307870370370372</v>
      </c>
    </row>
    <row r="106" spans="1:11" s="137" customFormat="1" ht="19.25" hidden="1" customHeight="1" x14ac:dyDescent="0.35">
      <c r="A106" s="217"/>
      <c r="B106" s="218"/>
      <c r="C106" s="370" t="s">
        <v>305</v>
      </c>
      <c r="D106" s="677"/>
      <c r="E106" s="677"/>
      <c r="F106" s="371">
        <v>1</v>
      </c>
      <c r="G106" s="361">
        <v>7590</v>
      </c>
      <c r="H106" s="329">
        <f t="shared" si="6"/>
        <v>7590</v>
      </c>
      <c r="I106" s="382" t="s">
        <v>82</v>
      </c>
      <c r="J106" s="362" t="s">
        <v>43</v>
      </c>
      <c r="K106" s="363">
        <v>0.25307870370370372</v>
      </c>
    </row>
    <row r="107" spans="1:11" s="137" customFormat="1" ht="19.25" hidden="1" customHeight="1" x14ac:dyDescent="0.35">
      <c r="A107" s="217"/>
      <c r="B107" s="218"/>
      <c r="C107" s="370" t="s">
        <v>306</v>
      </c>
      <c r="D107" s="677"/>
      <c r="E107" s="677"/>
      <c r="F107" s="371">
        <v>1</v>
      </c>
      <c r="G107" s="361">
        <v>369137.7</v>
      </c>
      <c r="H107" s="329">
        <f t="shared" si="6"/>
        <v>369137.7</v>
      </c>
      <c r="I107" s="382" t="s">
        <v>82</v>
      </c>
      <c r="J107" s="362" t="s">
        <v>43</v>
      </c>
      <c r="K107" s="363">
        <v>0.25307870370370372</v>
      </c>
    </row>
    <row r="108" spans="1:11" s="11" customFormat="1" ht="19.25" hidden="1" customHeight="1" x14ac:dyDescent="0.35">
      <c r="A108" s="20"/>
      <c r="B108" s="8"/>
      <c r="C108" s="71" t="s">
        <v>307</v>
      </c>
      <c r="D108" s="677"/>
      <c r="E108" s="677"/>
      <c r="F108" s="183">
        <v>1</v>
      </c>
      <c r="G108" s="235">
        <v>85038.3</v>
      </c>
      <c r="H108" s="9">
        <f t="shared" si="6"/>
        <v>85038.3</v>
      </c>
      <c r="I108" s="381" t="s">
        <v>82</v>
      </c>
      <c r="J108" s="21" t="s">
        <v>43</v>
      </c>
      <c r="K108" s="34">
        <v>0.25307870370370372</v>
      </c>
    </row>
    <row r="109" spans="1:11" s="137" customFormat="1" ht="19.25" hidden="1" customHeight="1" x14ac:dyDescent="0.35">
      <c r="A109" s="217"/>
      <c r="B109" s="218"/>
      <c r="C109" s="370" t="s">
        <v>308</v>
      </c>
      <c r="D109" s="677"/>
      <c r="E109" s="677"/>
      <c r="F109" s="371">
        <v>3</v>
      </c>
      <c r="G109" s="361">
        <v>6805.8</v>
      </c>
      <c r="H109" s="329">
        <f t="shared" si="6"/>
        <v>20417.400000000001</v>
      </c>
      <c r="I109" s="382" t="s">
        <v>82</v>
      </c>
      <c r="J109" s="362" t="s">
        <v>43</v>
      </c>
      <c r="K109" s="363">
        <v>0.25307870370370372</v>
      </c>
    </row>
    <row r="110" spans="1:11" s="11" customFormat="1" ht="19.25" hidden="1" customHeight="1" x14ac:dyDescent="0.35">
      <c r="A110" s="20"/>
      <c r="B110" s="8"/>
      <c r="C110" s="71" t="s">
        <v>309</v>
      </c>
      <c r="D110" s="677"/>
      <c r="E110" s="677"/>
      <c r="F110" s="183">
        <v>4</v>
      </c>
      <c r="G110" s="235">
        <v>5634.45</v>
      </c>
      <c r="H110" s="9">
        <f t="shared" si="6"/>
        <v>22537.8</v>
      </c>
      <c r="I110" s="381" t="s">
        <v>82</v>
      </c>
      <c r="J110" s="21" t="s">
        <v>43</v>
      </c>
      <c r="K110" s="34">
        <v>0.25307870370370372</v>
      </c>
    </row>
    <row r="111" spans="1:11" s="137" customFormat="1" ht="19.25" hidden="1" customHeight="1" x14ac:dyDescent="0.35">
      <c r="A111" s="217"/>
      <c r="B111" s="218"/>
      <c r="C111" s="370" t="s">
        <v>306</v>
      </c>
      <c r="D111" s="678"/>
      <c r="E111" s="678"/>
      <c r="F111" s="371">
        <v>1</v>
      </c>
      <c r="G111" s="361">
        <v>369137.7</v>
      </c>
      <c r="H111" s="329">
        <f t="shared" si="6"/>
        <v>369137.7</v>
      </c>
      <c r="I111" s="382" t="s">
        <v>82</v>
      </c>
      <c r="J111" s="362" t="s">
        <v>43</v>
      </c>
      <c r="K111" s="363">
        <v>0.25307870370370372</v>
      </c>
    </row>
    <row r="112" spans="1:11" s="11" customFormat="1" ht="21.65" hidden="1" customHeight="1" x14ac:dyDescent="0.35">
      <c r="A112" s="20"/>
      <c r="B112" s="8"/>
      <c r="C112" s="71" t="s">
        <v>317</v>
      </c>
      <c r="D112" s="20" t="s">
        <v>348</v>
      </c>
      <c r="E112" s="103">
        <v>1.1336226851851852</v>
      </c>
      <c r="F112" s="183">
        <v>1</v>
      </c>
      <c r="G112" s="235">
        <v>88449.75</v>
      </c>
      <c r="H112" s="9">
        <f>G112*F112</f>
        <v>88449.75</v>
      </c>
      <c r="I112" s="381" t="s">
        <v>82</v>
      </c>
      <c r="J112" s="21" t="s">
        <v>43</v>
      </c>
      <c r="K112" s="34">
        <v>0.75307870370370367</v>
      </c>
    </row>
    <row r="113" spans="1:11" s="11" customFormat="1" ht="19.25" hidden="1" customHeight="1" x14ac:dyDescent="0.35">
      <c r="A113" s="20"/>
      <c r="B113" s="8"/>
      <c r="C113" s="71" t="s">
        <v>334</v>
      </c>
      <c r="D113" s="20" t="s">
        <v>349</v>
      </c>
      <c r="E113" s="103">
        <v>1.1336226851851852</v>
      </c>
      <c r="F113" s="183">
        <v>1</v>
      </c>
      <c r="G113" s="235">
        <v>264784.95</v>
      </c>
      <c r="H113" s="9">
        <f>G113*F113</f>
        <v>264784.95</v>
      </c>
      <c r="I113" s="381" t="s">
        <v>82</v>
      </c>
      <c r="J113" s="21" t="s">
        <v>43</v>
      </c>
      <c r="K113" s="34">
        <v>0.75307870370370367</v>
      </c>
    </row>
    <row r="114" spans="1:11" s="11" customFormat="1" ht="19.25" hidden="1" customHeight="1" x14ac:dyDescent="0.35">
      <c r="A114" s="20"/>
      <c r="B114" s="8"/>
      <c r="C114" s="71" t="s">
        <v>329</v>
      </c>
      <c r="D114" s="676" t="s">
        <v>350</v>
      </c>
      <c r="E114" s="103">
        <v>1.1336226851851852</v>
      </c>
      <c r="F114" s="183">
        <v>2</v>
      </c>
      <c r="G114" s="235">
        <v>405389.7</v>
      </c>
      <c r="H114" s="9">
        <f>G114*F114</f>
        <v>810779.4</v>
      </c>
      <c r="I114" s="381" t="s">
        <v>82</v>
      </c>
      <c r="J114" s="21" t="s">
        <v>43</v>
      </c>
      <c r="K114" s="34">
        <v>0.75307870370370367</v>
      </c>
    </row>
    <row r="115" spans="1:11" s="11" customFormat="1" ht="19.25" hidden="1" customHeight="1" x14ac:dyDescent="0.35">
      <c r="A115" s="20"/>
      <c r="B115" s="8"/>
      <c r="C115" s="71" t="s">
        <v>333</v>
      </c>
      <c r="D115" s="678"/>
      <c r="E115" s="103">
        <v>1.1336226851851852</v>
      </c>
      <c r="F115" s="183">
        <v>1</v>
      </c>
      <c r="G115" s="235">
        <v>134397.45000000001</v>
      </c>
      <c r="H115" s="9">
        <f>G115*F115</f>
        <v>134397.45000000001</v>
      </c>
      <c r="I115" s="381" t="s">
        <v>82</v>
      </c>
      <c r="J115" s="21" t="s">
        <v>43</v>
      </c>
      <c r="K115" s="34">
        <v>0.75307870370370367</v>
      </c>
    </row>
    <row r="116" spans="1:11" s="137" customFormat="1" ht="19.25" hidden="1" customHeight="1" x14ac:dyDescent="0.35">
      <c r="A116" s="217"/>
      <c r="B116" s="218"/>
      <c r="C116" s="370" t="s">
        <v>337</v>
      </c>
      <c r="D116" s="676" t="s">
        <v>351</v>
      </c>
      <c r="E116" s="676" t="s">
        <v>116</v>
      </c>
      <c r="F116" s="371">
        <v>2</v>
      </c>
      <c r="G116" s="361">
        <v>8560</v>
      </c>
      <c r="H116" s="329">
        <f t="shared" ref="H116:H128" si="7">G116*F116</f>
        <v>17120</v>
      </c>
      <c r="I116" s="382" t="s">
        <v>82</v>
      </c>
      <c r="J116" s="362" t="s">
        <v>43</v>
      </c>
      <c r="K116" s="363">
        <v>0.75307870370370367</v>
      </c>
    </row>
    <row r="117" spans="1:11" s="137" customFormat="1" ht="19.25" hidden="1" customHeight="1" x14ac:dyDescent="0.35">
      <c r="A117" s="217"/>
      <c r="B117" s="218"/>
      <c r="C117" s="370" t="s">
        <v>338</v>
      </c>
      <c r="D117" s="677"/>
      <c r="E117" s="677"/>
      <c r="F117" s="371">
        <v>2</v>
      </c>
      <c r="G117" s="361">
        <v>3765</v>
      </c>
      <c r="H117" s="329">
        <f t="shared" si="7"/>
        <v>7530</v>
      </c>
      <c r="I117" s="382" t="s">
        <v>82</v>
      </c>
      <c r="J117" s="362" t="s">
        <v>43</v>
      </c>
      <c r="K117" s="363">
        <v>0.75307870370370367</v>
      </c>
    </row>
    <row r="118" spans="1:11" s="137" customFormat="1" ht="19.25" hidden="1" customHeight="1" x14ac:dyDescent="0.35">
      <c r="A118" s="217"/>
      <c r="B118" s="218"/>
      <c r="C118" s="370" t="s">
        <v>339</v>
      </c>
      <c r="D118" s="677"/>
      <c r="E118" s="677"/>
      <c r="F118" s="371">
        <v>2</v>
      </c>
      <c r="G118" s="361">
        <v>3937.5</v>
      </c>
      <c r="H118" s="329">
        <f t="shared" si="7"/>
        <v>7875</v>
      </c>
      <c r="I118" s="382" t="s">
        <v>82</v>
      </c>
      <c r="J118" s="362" t="s">
        <v>43</v>
      </c>
      <c r="K118" s="363">
        <v>0.75307870370370367</v>
      </c>
    </row>
    <row r="119" spans="1:11" s="11" customFormat="1" ht="19.25" hidden="1" customHeight="1" x14ac:dyDescent="0.35">
      <c r="A119" s="20"/>
      <c r="B119" s="8"/>
      <c r="C119" s="71" t="s">
        <v>340</v>
      </c>
      <c r="D119" s="678"/>
      <c r="E119" s="678"/>
      <c r="F119" s="183">
        <v>2</v>
      </c>
      <c r="G119" s="235">
        <v>163364.85</v>
      </c>
      <c r="H119" s="9">
        <f t="shared" si="7"/>
        <v>326729.7</v>
      </c>
      <c r="I119" s="381" t="s">
        <v>82</v>
      </c>
      <c r="J119" s="21" t="s">
        <v>43</v>
      </c>
      <c r="K119" s="34">
        <v>0.75307870370370367</v>
      </c>
    </row>
    <row r="120" spans="1:11" s="137" customFormat="1" ht="19.25" hidden="1" customHeight="1" x14ac:dyDescent="0.35">
      <c r="A120" s="217"/>
      <c r="B120" s="218"/>
      <c r="C120" s="370" t="s">
        <v>324</v>
      </c>
      <c r="D120" s="676" t="s">
        <v>347</v>
      </c>
      <c r="E120" s="759">
        <v>1.1336226851851852</v>
      </c>
      <c r="F120" s="371">
        <v>1</v>
      </c>
      <c r="G120" s="361">
        <v>67014.899999999994</v>
      </c>
      <c r="H120" s="329">
        <f t="shared" si="7"/>
        <v>67014.899999999994</v>
      </c>
      <c r="I120" s="382" t="s">
        <v>82</v>
      </c>
      <c r="J120" s="362" t="s">
        <v>43</v>
      </c>
      <c r="K120" s="363">
        <v>0.75307870370370367</v>
      </c>
    </row>
    <row r="121" spans="1:11" s="137" customFormat="1" ht="19.25" hidden="1" customHeight="1" x14ac:dyDescent="0.35">
      <c r="A121" s="217"/>
      <c r="B121" s="218"/>
      <c r="C121" s="370" t="s">
        <v>325</v>
      </c>
      <c r="D121" s="677"/>
      <c r="E121" s="677"/>
      <c r="F121" s="371">
        <v>1</v>
      </c>
      <c r="G121" s="361">
        <v>84961.35</v>
      </c>
      <c r="H121" s="329">
        <f t="shared" si="7"/>
        <v>84961.35</v>
      </c>
      <c r="I121" s="382" t="s">
        <v>82</v>
      </c>
      <c r="J121" s="362" t="s">
        <v>43</v>
      </c>
      <c r="K121" s="363">
        <v>0.75307870370370367</v>
      </c>
    </row>
    <row r="122" spans="1:11" s="137" customFormat="1" ht="19.25" hidden="1" customHeight="1" x14ac:dyDescent="0.35">
      <c r="A122" s="217"/>
      <c r="B122" s="218"/>
      <c r="C122" s="370" t="s">
        <v>326</v>
      </c>
      <c r="D122" s="677"/>
      <c r="E122" s="677"/>
      <c r="F122" s="371">
        <v>1</v>
      </c>
      <c r="G122" s="361">
        <v>40344.93</v>
      </c>
      <c r="H122" s="329">
        <f t="shared" si="7"/>
        <v>40344.93</v>
      </c>
      <c r="I122" s="382" t="s">
        <v>82</v>
      </c>
      <c r="J122" s="362" t="s">
        <v>43</v>
      </c>
      <c r="K122" s="363">
        <v>0.75307870370370367</v>
      </c>
    </row>
    <row r="123" spans="1:11" s="11" customFormat="1" ht="19.25" hidden="1" customHeight="1" x14ac:dyDescent="0.35">
      <c r="A123" s="20"/>
      <c r="B123" s="8"/>
      <c r="C123" s="71" t="s">
        <v>327</v>
      </c>
      <c r="D123" s="677"/>
      <c r="E123" s="677"/>
      <c r="F123" s="183">
        <v>2</v>
      </c>
      <c r="G123" s="235">
        <v>15937.2</v>
      </c>
      <c r="H123" s="9">
        <f t="shared" si="7"/>
        <v>31874.400000000001</v>
      </c>
      <c r="I123" s="381" t="s">
        <v>82</v>
      </c>
      <c r="J123" s="21" t="s">
        <v>43</v>
      </c>
      <c r="K123" s="34">
        <v>0.75307870370370367</v>
      </c>
    </row>
    <row r="124" spans="1:11" s="137" customFormat="1" ht="19.25" hidden="1" customHeight="1" x14ac:dyDescent="0.35">
      <c r="A124" s="217"/>
      <c r="B124" s="218"/>
      <c r="C124" s="370" t="s">
        <v>328</v>
      </c>
      <c r="D124" s="678"/>
      <c r="E124" s="678"/>
      <c r="F124" s="371">
        <v>1</v>
      </c>
      <c r="G124" s="361">
        <v>22046.18</v>
      </c>
      <c r="H124" s="329">
        <f t="shared" si="7"/>
        <v>22046.18</v>
      </c>
      <c r="I124" s="382" t="s">
        <v>82</v>
      </c>
      <c r="J124" s="362" t="s">
        <v>43</v>
      </c>
      <c r="K124" s="363">
        <v>0.75307870370370367</v>
      </c>
    </row>
    <row r="125" spans="1:11" ht="19.25" hidden="1" customHeight="1" x14ac:dyDescent="0.35">
      <c r="A125" s="41"/>
      <c r="B125" s="4"/>
      <c r="C125" s="191" t="s">
        <v>343</v>
      </c>
      <c r="D125" s="682" t="s">
        <v>346</v>
      </c>
      <c r="E125" s="684">
        <v>1.1336226851851852</v>
      </c>
      <c r="F125" s="192">
        <v>2</v>
      </c>
      <c r="G125" s="235">
        <v>393547.95</v>
      </c>
      <c r="H125" s="40">
        <f t="shared" si="7"/>
        <v>787095.9</v>
      </c>
      <c r="I125" s="383" t="s">
        <v>82</v>
      </c>
      <c r="J125" s="193" t="s">
        <v>43</v>
      </c>
      <c r="K125" s="34">
        <v>0.75307870370370367</v>
      </c>
    </row>
    <row r="126" spans="1:11" ht="19.25" hidden="1" customHeight="1" x14ac:dyDescent="0.35">
      <c r="A126" s="41"/>
      <c r="B126" s="4"/>
      <c r="C126" s="191" t="s">
        <v>344</v>
      </c>
      <c r="D126" s="758"/>
      <c r="E126" s="758"/>
      <c r="F126" s="192">
        <v>4</v>
      </c>
      <c r="G126" s="235">
        <v>203216.4</v>
      </c>
      <c r="H126" s="40">
        <f t="shared" si="7"/>
        <v>812865.6</v>
      </c>
      <c r="I126" s="383" t="s">
        <v>82</v>
      </c>
      <c r="J126" s="193" t="s">
        <v>43</v>
      </c>
      <c r="K126" s="34">
        <v>0.75307870370370367</v>
      </c>
    </row>
    <row r="127" spans="1:11" ht="19.25" hidden="1" customHeight="1" x14ac:dyDescent="0.35">
      <c r="A127" s="41"/>
      <c r="B127" s="4"/>
      <c r="C127" s="191" t="s">
        <v>345</v>
      </c>
      <c r="D127" s="683"/>
      <c r="E127" s="683"/>
      <c r="F127" s="192">
        <v>2</v>
      </c>
      <c r="G127" s="235">
        <v>575551.80000000005</v>
      </c>
      <c r="H127" s="40">
        <f t="shared" si="7"/>
        <v>1151103.6000000001</v>
      </c>
      <c r="I127" s="383" t="s">
        <v>82</v>
      </c>
      <c r="J127" s="193" t="s">
        <v>43</v>
      </c>
      <c r="K127" s="34">
        <v>0.75307870370370367</v>
      </c>
    </row>
    <row r="128" spans="1:11" s="11" customFormat="1" ht="19.25" hidden="1" customHeight="1" x14ac:dyDescent="0.35">
      <c r="A128" s="20"/>
      <c r="B128" s="8"/>
      <c r="C128" s="71" t="s">
        <v>354</v>
      </c>
      <c r="D128" s="20" t="s">
        <v>355</v>
      </c>
      <c r="E128" s="103">
        <v>1.1336226851851852</v>
      </c>
      <c r="F128" s="183">
        <v>2</v>
      </c>
      <c r="G128" s="235">
        <v>108713.25</v>
      </c>
      <c r="H128" s="9">
        <f t="shared" si="7"/>
        <v>217426.5</v>
      </c>
      <c r="I128" s="381" t="s">
        <v>50</v>
      </c>
      <c r="J128" s="21" t="s">
        <v>43</v>
      </c>
      <c r="K128" s="34">
        <v>0.75307870370370367</v>
      </c>
    </row>
    <row r="129" spans="1:11" s="249" customFormat="1" ht="19.25" hidden="1" customHeight="1" x14ac:dyDescent="0.35">
      <c r="A129" s="243"/>
      <c r="B129" s="244"/>
      <c r="C129" s="154" t="s">
        <v>371</v>
      </c>
      <c r="D129" s="715" t="s">
        <v>370</v>
      </c>
      <c r="E129" s="717">
        <v>1.2586226851851852</v>
      </c>
      <c r="F129" s="219">
        <v>4</v>
      </c>
      <c r="G129" s="245">
        <v>4087.5</v>
      </c>
      <c r="H129" s="246">
        <f t="shared" ref="H129:H147" si="8">G129*F129</f>
        <v>16350</v>
      </c>
      <c r="I129" s="384" t="s">
        <v>476</v>
      </c>
      <c r="J129" s="247" t="s">
        <v>43</v>
      </c>
      <c r="K129" s="248">
        <v>0.75307870370370367</v>
      </c>
    </row>
    <row r="130" spans="1:11" s="137" customFormat="1" ht="19.25" hidden="1" customHeight="1" x14ac:dyDescent="0.35">
      <c r="A130" s="217"/>
      <c r="B130" s="218"/>
      <c r="C130" s="370" t="s">
        <v>374</v>
      </c>
      <c r="D130" s="715"/>
      <c r="E130" s="715"/>
      <c r="F130" s="371">
        <v>1</v>
      </c>
      <c r="G130" s="361">
        <v>10071.9</v>
      </c>
      <c r="H130" s="329">
        <f t="shared" si="8"/>
        <v>10071.9</v>
      </c>
      <c r="I130" s="382" t="s">
        <v>476</v>
      </c>
      <c r="J130" s="362" t="s">
        <v>43</v>
      </c>
      <c r="K130" s="363">
        <v>0.75307870370370367</v>
      </c>
    </row>
    <row r="131" spans="1:11" s="137" customFormat="1" ht="19.25" hidden="1" customHeight="1" x14ac:dyDescent="0.35">
      <c r="A131" s="217"/>
      <c r="B131" s="218"/>
      <c r="C131" s="370" t="s">
        <v>373</v>
      </c>
      <c r="D131" s="715"/>
      <c r="E131" s="715"/>
      <c r="F131" s="371">
        <v>1</v>
      </c>
      <c r="G131" s="361">
        <v>53300.7</v>
      </c>
      <c r="H131" s="329">
        <f t="shared" si="8"/>
        <v>53300.7</v>
      </c>
      <c r="I131" s="382" t="s">
        <v>476</v>
      </c>
      <c r="J131" s="362" t="s">
        <v>43</v>
      </c>
      <c r="K131" s="363">
        <v>0.75307870370370367</v>
      </c>
    </row>
    <row r="132" spans="1:11" s="249" customFormat="1" ht="19.25" hidden="1" customHeight="1" x14ac:dyDescent="0.35">
      <c r="A132" s="243"/>
      <c r="B132" s="244"/>
      <c r="C132" s="154" t="s">
        <v>372</v>
      </c>
      <c r="D132" s="716"/>
      <c r="E132" s="716"/>
      <c r="F132" s="219">
        <v>2</v>
      </c>
      <c r="G132" s="245">
        <v>25102.799999999999</v>
      </c>
      <c r="H132" s="246">
        <f t="shared" si="8"/>
        <v>50205.599999999999</v>
      </c>
      <c r="I132" s="384" t="s">
        <v>476</v>
      </c>
      <c r="J132" s="247" t="s">
        <v>43</v>
      </c>
      <c r="K132" s="248">
        <v>0.75307870370370367</v>
      </c>
    </row>
    <row r="133" spans="1:11" s="137" customFormat="1" ht="19.25" hidden="1" customHeight="1" x14ac:dyDescent="0.35">
      <c r="A133" s="217"/>
      <c r="B133" s="218"/>
      <c r="C133" s="370" t="s">
        <v>423</v>
      </c>
      <c r="D133" s="217" t="s">
        <v>425</v>
      </c>
      <c r="E133" s="395">
        <v>0.58432870370370371</v>
      </c>
      <c r="F133" s="371">
        <v>2</v>
      </c>
      <c r="G133" s="361">
        <v>164519.1</v>
      </c>
      <c r="H133" s="329">
        <f t="shared" si="8"/>
        <v>329038.2</v>
      </c>
      <c r="I133" s="382" t="s">
        <v>646</v>
      </c>
      <c r="J133" s="362" t="s">
        <v>43</v>
      </c>
      <c r="K133" s="363">
        <v>0.25377314814814816</v>
      </c>
    </row>
    <row r="134" spans="1:11" s="11" customFormat="1" ht="19.25" hidden="1" customHeight="1" x14ac:dyDescent="0.35">
      <c r="A134" s="20"/>
      <c r="B134" s="8"/>
      <c r="C134" s="71" t="s">
        <v>431</v>
      </c>
      <c r="D134" s="20" t="s">
        <v>432</v>
      </c>
      <c r="E134" s="103">
        <v>0.66766203703703697</v>
      </c>
      <c r="F134" s="183">
        <v>2</v>
      </c>
      <c r="G134" s="236">
        <v>593314.44999999995</v>
      </c>
      <c r="H134" s="9">
        <f t="shared" si="8"/>
        <v>1186628.8999999999</v>
      </c>
      <c r="I134" s="381" t="s">
        <v>433</v>
      </c>
      <c r="J134" s="21" t="s">
        <v>43</v>
      </c>
      <c r="K134" s="34">
        <v>0.33710648148148148</v>
      </c>
    </row>
    <row r="135" spans="1:11" ht="19.25" hidden="1" customHeight="1" x14ac:dyDescent="0.35">
      <c r="A135" s="41"/>
      <c r="B135" s="4"/>
      <c r="C135" s="191" t="s">
        <v>466</v>
      </c>
      <c r="D135" s="307" t="s">
        <v>467</v>
      </c>
      <c r="E135" s="308" t="s">
        <v>465</v>
      </c>
      <c r="F135" s="192">
        <v>2</v>
      </c>
      <c r="G135" s="235">
        <v>154755</v>
      </c>
      <c r="H135" s="40">
        <f t="shared" si="8"/>
        <v>309510</v>
      </c>
      <c r="I135" s="383" t="s">
        <v>28</v>
      </c>
      <c r="J135" s="193" t="s">
        <v>43</v>
      </c>
      <c r="K135" s="309">
        <v>0.79543981481481485</v>
      </c>
    </row>
    <row r="136" spans="1:11" s="11" customFormat="1" ht="19.25" hidden="1" customHeight="1" x14ac:dyDescent="0.35">
      <c r="A136" s="20"/>
      <c r="B136" s="8"/>
      <c r="C136" s="71" t="s">
        <v>473</v>
      </c>
      <c r="D136" s="102" t="s">
        <v>474</v>
      </c>
      <c r="E136" s="101" t="s">
        <v>475</v>
      </c>
      <c r="F136" s="183">
        <v>2</v>
      </c>
      <c r="G136" s="236">
        <v>111757.05</v>
      </c>
      <c r="H136" s="9">
        <f t="shared" si="8"/>
        <v>223514.1</v>
      </c>
      <c r="I136" s="381" t="s">
        <v>590</v>
      </c>
      <c r="J136" s="21" t="s">
        <v>43</v>
      </c>
      <c r="K136" s="34">
        <v>0.83710648148148159</v>
      </c>
    </row>
    <row r="137" spans="1:11" ht="19.25" hidden="1" customHeight="1" x14ac:dyDescent="0.35">
      <c r="A137" s="41"/>
      <c r="B137" s="4"/>
      <c r="C137" s="191" t="s">
        <v>605</v>
      </c>
      <c r="D137" s="307" t="s">
        <v>607</v>
      </c>
      <c r="E137" s="153">
        <v>0.25168981481481484</v>
      </c>
      <c r="F137" s="192">
        <v>2</v>
      </c>
      <c r="G137" s="235">
        <v>60799.05</v>
      </c>
      <c r="H137" s="40">
        <f t="shared" si="8"/>
        <v>121598.1</v>
      </c>
      <c r="I137" s="381" t="s">
        <v>396</v>
      </c>
      <c r="J137" s="193" t="s">
        <v>43</v>
      </c>
      <c r="K137" s="309" t="s">
        <v>442</v>
      </c>
    </row>
    <row r="138" spans="1:11" s="11" customFormat="1" ht="19.25" hidden="1" customHeight="1" x14ac:dyDescent="0.35">
      <c r="A138" s="20"/>
      <c r="B138" s="8"/>
      <c r="C138" s="71" t="s">
        <v>606</v>
      </c>
      <c r="D138" s="102" t="s">
        <v>608</v>
      </c>
      <c r="E138" s="153">
        <v>0.25168981481481484</v>
      </c>
      <c r="F138" s="183">
        <v>1</v>
      </c>
      <c r="G138" s="236">
        <v>493480.35</v>
      </c>
      <c r="H138" s="9">
        <f>G138*F138</f>
        <v>493480.35</v>
      </c>
      <c r="I138" s="381" t="s">
        <v>396</v>
      </c>
      <c r="J138" s="21" t="s">
        <v>43</v>
      </c>
      <c r="K138" s="309" t="s">
        <v>442</v>
      </c>
    </row>
    <row r="139" spans="1:11" s="137" customFormat="1" ht="19.25" hidden="1" customHeight="1" x14ac:dyDescent="0.35">
      <c r="A139" s="217"/>
      <c r="B139" s="218"/>
      <c r="C139" s="370" t="s">
        <v>609</v>
      </c>
      <c r="D139" s="396" t="s">
        <v>610</v>
      </c>
      <c r="E139" s="364">
        <v>0.29335648148148147</v>
      </c>
      <c r="F139" s="371">
        <v>2</v>
      </c>
      <c r="G139" s="361">
        <v>705366.45</v>
      </c>
      <c r="H139" s="329">
        <f>G139*F139</f>
        <v>1410732.9</v>
      </c>
      <c r="I139" s="382" t="s">
        <v>648</v>
      </c>
      <c r="J139" s="362" t="s">
        <v>146</v>
      </c>
      <c r="K139" s="363"/>
    </row>
    <row r="140" spans="1:11" s="11" customFormat="1" ht="19.25" hidden="1" customHeight="1" x14ac:dyDescent="0.35">
      <c r="A140" s="20"/>
      <c r="B140" s="8"/>
      <c r="C140" s="71" t="s">
        <v>641</v>
      </c>
      <c r="D140" s="680" t="s">
        <v>645</v>
      </c>
      <c r="E140" s="668">
        <v>0.58502314814814815</v>
      </c>
      <c r="F140" s="183">
        <v>1</v>
      </c>
      <c r="G140" s="236">
        <v>62825.4</v>
      </c>
      <c r="H140" s="9">
        <f t="shared" si="8"/>
        <v>62825.4</v>
      </c>
      <c r="I140" s="381" t="s">
        <v>396</v>
      </c>
      <c r="J140" s="356" t="s">
        <v>43</v>
      </c>
      <c r="K140" s="309">
        <v>0.25446759259259261</v>
      </c>
    </row>
    <row r="141" spans="1:11" s="11" customFormat="1" ht="19.25" hidden="1" customHeight="1" x14ac:dyDescent="0.35">
      <c r="A141" s="20"/>
      <c r="B141" s="8"/>
      <c r="C141" s="71" t="s">
        <v>642</v>
      </c>
      <c r="D141" s="681"/>
      <c r="E141" s="669"/>
      <c r="F141" s="183">
        <v>1</v>
      </c>
      <c r="G141" s="236">
        <v>39989.4</v>
      </c>
      <c r="H141" s="9">
        <f t="shared" si="8"/>
        <v>39989.4</v>
      </c>
      <c r="I141" s="381" t="s">
        <v>396</v>
      </c>
      <c r="J141" s="357"/>
      <c r="K141" s="309">
        <v>0.25446759259259261</v>
      </c>
    </row>
    <row r="142" spans="1:11" s="322" customFormat="1" ht="19.25" hidden="1" customHeight="1" x14ac:dyDescent="0.35">
      <c r="A142" s="314"/>
      <c r="B142" s="315"/>
      <c r="C142" s="316" t="s">
        <v>482</v>
      </c>
      <c r="D142" s="670" t="s">
        <v>481</v>
      </c>
      <c r="E142" s="673" t="s">
        <v>475</v>
      </c>
      <c r="F142" s="317">
        <v>1</v>
      </c>
      <c r="G142" s="318">
        <v>67014.899999999994</v>
      </c>
      <c r="H142" s="319">
        <f t="shared" si="8"/>
        <v>67014.899999999994</v>
      </c>
      <c r="I142" s="385" t="s">
        <v>480</v>
      </c>
      <c r="J142" s="320" t="s">
        <v>43</v>
      </c>
      <c r="K142" s="321">
        <v>0.79543981481481485</v>
      </c>
    </row>
    <row r="143" spans="1:11" s="322" customFormat="1" ht="19.25" hidden="1" customHeight="1" x14ac:dyDescent="0.35">
      <c r="A143" s="314"/>
      <c r="B143" s="315"/>
      <c r="C143" s="316" t="s">
        <v>483</v>
      </c>
      <c r="D143" s="671"/>
      <c r="E143" s="674"/>
      <c r="F143" s="317">
        <v>1</v>
      </c>
      <c r="G143" s="318">
        <v>84961.35</v>
      </c>
      <c r="H143" s="319">
        <f t="shared" si="8"/>
        <v>84961.35</v>
      </c>
      <c r="I143" s="385" t="s">
        <v>480</v>
      </c>
      <c r="J143" s="320" t="s">
        <v>43</v>
      </c>
      <c r="K143" s="321">
        <v>0.83710648148148159</v>
      </c>
    </row>
    <row r="144" spans="1:11" s="322" customFormat="1" ht="19.25" hidden="1" customHeight="1" x14ac:dyDescent="0.35">
      <c r="A144" s="314"/>
      <c r="B144" s="315"/>
      <c r="C144" s="316" t="s">
        <v>484</v>
      </c>
      <c r="D144" s="671"/>
      <c r="E144" s="674"/>
      <c r="F144" s="317">
        <v>1</v>
      </c>
      <c r="G144" s="318">
        <v>40133.699999999997</v>
      </c>
      <c r="H144" s="319">
        <f t="shared" si="8"/>
        <v>40133.699999999997</v>
      </c>
      <c r="I144" s="385" t="s">
        <v>480</v>
      </c>
      <c r="J144" s="320" t="s">
        <v>43</v>
      </c>
      <c r="K144" s="321">
        <v>0.79543981481481485</v>
      </c>
    </row>
    <row r="145" spans="1:11" s="322" customFormat="1" ht="19.25" hidden="1" customHeight="1" x14ac:dyDescent="0.35">
      <c r="A145" s="314"/>
      <c r="B145" s="315"/>
      <c r="C145" s="316" t="s">
        <v>485</v>
      </c>
      <c r="D145" s="671"/>
      <c r="E145" s="674"/>
      <c r="F145" s="317">
        <v>1</v>
      </c>
      <c r="G145" s="318">
        <v>3787.5</v>
      </c>
      <c r="H145" s="319">
        <f t="shared" si="8"/>
        <v>3787.5</v>
      </c>
      <c r="I145" s="385" t="s">
        <v>480</v>
      </c>
      <c r="J145" s="320" t="s">
        <v>43</v>
      </c>
      <c r="K145" s="321">
        <v>0.83710648148148159</v>
      </c>
    </row>
    <row r="146" spans="1:11" s="322" customFormat="1" ht="19.25" hidden="1" customHeight="1" x14ac:dyDescent="0.35">
      <c r="A146" s="314"/>
      <c r="B146" s="315"/>
      <c r="C146" s="316" t="s">
        <v>486</v>
      </c>
      <c r="D146" s="671"/>
      <c r="E146" s="674"/>
      <c r="F146" s="317">
        <v>1</v>
      </c>
      <c r="G146" s="318">
        <v>15937.2</v>
      </c>
      <c r="H146" s="319">
        <f t="shared" si="8"/>
        <v>15937.2</v>
      </c>
      <c r="I146" s="385" t="s">
        <v>480</v>
      </c>
      <c r="J146" s="320" t="s">
        <v>43</v>
      </c>
      <c r="K146" s="321">
        <v>0.79543981481481485</v>
      </c>
    </row>
    <row r="147" spans="1:11" s="322" customFormat="1" ht="19.25" hidden="1" customHeight="1" x14ac:dyDescent="0.35">
      <c r="A147" s="314"/>
      <c r="B147" s="315"/>
      <c r="C147" s="316" t="s">
        <v>487</v>
      </c>
      <c r="D147" s="672"/>
      <c r="E147" s="675"/>
      <c r="F147" s="317">
        <v>1</v>
      </c>
      <c r="G147" s="318">
        <v>21930.75</v>
      </c>
      <c r="H147" s="319">
        <f t="shared" si="8"/>
        <v>21930.75</v>
      </c>
      <c r="I147" s="385" t="s">
        <v>480</v>
      </c>
      <c r="J147" s="320" t="s">
        <v>43</v>
      </c>
      <c r="K147" s="321">
        <v>0.83710648148148159</v>
      </c>
    </row>
    <row r="148" spans="1:11" ht="25.25" hidden="1" customHeight="1" x14ac:dyDescent="0.35">
      <c r="C148" s="190"/>
      <c r="F148" s="184"/>
      <c r="G148" s="29" t="s">
        <v>12</v>
      </c>
      <c r="H148" s="29">
        <f>SUM(H40:H147)</f>
        <v>24669923.459999993</v>
      </c>
    </row>
    <row r="149" spans="1:11" s="11" customFormat="1" ht="21.75" customHeight="1" x14ac:dyDescent="0.35">
      <c r="A149" s="20">
        <v>4</v>
      </c>
      <c r="B149" s="8" t="s">
        <v>21</v>
      </c>
      <c r="C149" s="71" t="s">
        <v>110</v>
      </c>
      <c r="D149" s="149" t="s">
        <v>262</v>
      </c>
      <c r="E149" s="150">
        <v>0.63362268518518516</v>
      </c>
      <c r="F149" s="20">
        <v>1</v>
      </c>
      <c r="G149" s="9">
        <v>60000</v>
      </c>
      <c r="H149" s="9">
        <f>G149*F149</f>
        <v>60000</v>
      </c>
      <c r="I149" s="376" t="s">
        <v>68</v>
      </c>
      <c r="J149" s="151" t="s">
        <v>30</v>
      </c>
      <c r="K149" s="34">
        <v>0.96002314814814815</v>
      </c>
    </row>
    <row r="150" spans="1:11" x14ac:dyDescent="0.35">
      <c r="G150" s="29" t="s">
        <v>12</v>
      </c>
      <c r="H150" s="29">
        <f>SUM(H149:H149)</f>
        <v>60000</v>
      </c>
    </row>
    <row r="151" spans="1:11" s="11" customFormat="1" ht="24" customHeight="1" x14ac:dyDescent="0.35">
      <c r="A151" s="186">
        <v>5</v>
      </c>
      <c r="B151" s="162" t="s">
        <v>54</v>
      </c>
      <c r="C151" s="163" t="s">
        <v>148</v>
      </c>
      <c r="D151" s="471" t="s">
        <v>147</v>
      </c>
      <c r="E151" s="472" t="s">
        <v>97</v>
      </c>
      <c r="F151" s="43">
        <v>1</v>
      </c>
      <c r="G151" s="237">
        <v>39925.199999999997</v>
      </c>
      <c r="H151" s="164">
        <f>G151*F151</f>
        <v>39925.199999999997</v>
      </c>
      <c r="I151" s="386" t="s">
        <v>64</v>
      </c>
      <c r="J151" s="186" t="s">
        <v>41</v>
      </c>
      <c r="K151" s="187"/>
    </row>
    <row r="152" spans="1:11" s="11" customFormat="1" ht="24" customHeight="1" x14ac:dyDescent="0.35">
      <c r="A152" s="186"/>
      <c r="B152" s="162"/>
      <c r="C152" s="154" t="s">
        <v>404</v>
      </c>
      <c r="D152" s="470" t="s">
        <v>412</v>
      </c>
      <c r="E152" s="469">
        <v>0.54266203703703708</v>
      </c>
      <c r="F152" s="43">
        <v>10</v>
      </c>
      <c r="G152" s="237">
        <v>11780</v>
      </c>
      <c r="H152" s="164">
        <f t="shared" ref="H152:H157" si="9">G152*F152</f>
        <v>117800</v>
      </c>
      <c r="I152" s="386" t="s">
        <v>411</v>
      </c>
      <c r="J152" s="186" t="s">
        <v>67</v>
      </c>
      <c r="K152" s="187">
        <v>0.29474537037037035</v>
      </c>
    </row>
    <row r="153" spans="1:11" s="11" customFormat="1" ht="24" customHeight="1" x14ac:dyDescent="0.35">
      <c r="A153" s="186"/>
      <c r="B153" s="162"/>
      <c r="C153" s="66" t="s">
        <v>443</v>
      </c>
      <c r="D153" s="8" t="s">
        <v>454</v>
      </c>
      <c r="E153" s="153" t="s">
        <v>453</v>
      </c>
      <c r="F153" s="42">
        <v>6</v>
      </c>
      <c r="G153" s="238">
        <v>58334</v>
      </c>
      <c r="H153" s="9">
        <f t="shared" si="9"/>
        <v>350004</v>
      </c>
      <c r="I153" s="381" t="s">
        <v>396</v>
      </c>
      <c r="J153" s="186" t="s">
        <v>67</v>
      </c>
      <c r="K153" s="187">
        <v>8.6412037037037037E-2</v>
      </c>
    </row>
    <row r="154" spans="1:11" s="11" customFormat="1" ht="24" customHeight="1" x14ac:dyDescent="0.35">
      <c r="A154" s="186"/>
      <c r="B154" s="162"/>
      <c r="C154" s="51" t="s">
        <v>470</v>
      </c>
      <c r="D154" s="676" t="s">
        <v>472</v>
      </c>
      <c r="E154" s="668" t="s">
        <v>158</v>
      </c>
      <c r="F154" s="43">
        <v>2</v>
      </c>
      <c r="G154" s="237">
        <v>70596</v>
      </c>
      <c r="H154" s="164">
        <f t="shared" si="9"/>
        <v>141192</v>
      </c>
      <c r="I154" s="386" t="s">
        <v>63</v>
      </c>
      <c r="J154" s="186" t="s">
        <v>67</v>
      </c>
      <c r="K154" s="187">
        <v>0.25377314814814816</v>
      </c>
    </row>
    <row r="155" spans="1:11" s="11" customFormat="1" ht="24" customHeight="1" x14ac:dyDescent="0.35">
      <c r="A155" s="186"/>
      <c r="B155" s="162"/>
      <c r="C155" s="156" t="s">
        <v>471</v>
      </c>
      <c r="D155" s="678"/>
      <c r="E155" s="669"/>
      <c r="F155" s="42">
        <v>2</v>
      </c>
      <c r="G155" s="238">
        <v>34779</v>
      </c>
      <c r="H155" s="9">
        <f t="shared" si="9"/>
        <v>69558</v>
      </c>
      <c r="I155" s="381" t="s">
        <v>63</v>
      </c>
      <c r="J155" s="20" t="s">
        <v>67</v>
      </c>
      <c r="K155" s="153">
        <v>0.25377314814814816</v>
      </c>
    </row>
    <row r="156" spans="1:11" s="11" customFormat="1" ht="24" customHeight="1" x14ac:dyDescent="0.35">
      <c r="A156" s="186"/>
      <c r="B156" s="162"/>
      <c r="C156" s="66" t="s">
        <v>502</v>
      </c>
      <c r="D156" s="8" t="s">
        <v>507</v>
      </c>
      <c r="E156" s="153" t="s">
        <v>141</v>
      </c>
      <c r="F156" s="42">
        <v>1</v>
      </c>
      <c r="G156" s="238">
        <v>116875</v>
      </c>
      <c r="H156" s="9">
        <f t="shared" si="9"/>
        <v>116875</v>
      </c>
      <c r="I156" s="381" t="s">
        <v>506</v>
      </c>
      <c r="J156" s="20" t="s">
        <v>508</v>
      </c>
      <c r="K156" s="187">
        <v>0.92043981481481485</v>
      </c>
    </row>
    <row r="157" spans="1:11" s="11" customFormat="1" ht="24" customHeight="1" x14ac:dyDescent="0.35">
      <c r="A157" s="186"/>
      <c r="B157" s="162"/>
      <c r="C157" s="66" t="s">
        <v>557</v>
      </c>
      <c r="D157" s="8" t="s">
        <v>558</v>
      </c>
      <c r="E157" s="153">
        <v>8.5023148148148153E-2</v>
      </c>
      <c r="F157" s="42">
        <v>17</v>
      </c>
      <c r="G157" s="238">
        <v>29498.04</v>
      </c>
      <c r="H157" s="9">
        <f t="shared" si="9"/>
        <v>501466.68</v>
      </c>
      <c r="I157" s="381" t="s">
        <v>559</v>
      </c>
      <c r="J157" s="20" t="s">
        <v>67</v>
      </c>
      <c r="K157" s="187">
        <v>0.46210648148148148</v>
      </c>
    </row>
    <row r="158" spans="1:11" s="11" customFormat="1" ht="24" customHeight="1" x14ac:dyDescent="0.35">
      <c r="A158" s="186"/>
      <c r="B158" s="162"/>
      <c r="C158" s="66" t="s">
        <v>626</v>
      </c>
      <c r="D158" s="676" t="s">
        <v>614</v>
      </c>
      <c r="E158" s="668">
        <v>0.4600231481481481</v>
      </c>
      <c r="F158" s="43">
        <v>6</v>
      </c>
      <c r="G158" s="237">
        <v>28000</v>
      </c>
      <c r="H158" s="164">
        <f t="shared" ref="H158:H165" si="10">G158*F158</f>
        <v>168000</v>
      </c>
      <c r="I158" s="386" t="s">
        <v>28</v>
      </c>
      <c r="J158" s="186" t="s">
        <v>630</v>
      </c>
      <c r="K158" s="187">
        <v>0.25377314814814816</v>
      </c>
    </row>
    <row r="159" spans="1:11" s="11" customFormat="1" ht="24" customHeight="1" x14ac:dyDescent="0.35">
      <c r="A159" s="186"/>
      <c r="B159" s="162"/>
      <c r="C159" s="66" t="s">
        <v>627</v>
      </c>
      <c r="D159" s="678"/>
      <c r="E159" s="669"/>
      <c r="F159" s="42">
        <v>6</v>
      </c>
      <c r="G159" s="238">
        <v>42895</v>
      </c>
      <c r="H159" s="9">
        <f t="shared" si="10"/>
        <v>257370</v>
      </c>
      <c r="I159" s="386" t="s">
        <v>28</v>
      </c>
      <c r="J159" s="186" t="s">
        <v>630</v>
      </c>
      <c r="K159" s="153">
        <v>0.25377314814814816</v>
      </c>
    </row>
    <row r="160" spans="1:11" s="11" customFormat="1" ht="24" customHeight="1" x14ac:dyDescent="0.35">
      <c r="A160" s="186"/>
      <c r="B160" s="162"/>
      <c r="C160" s="66" t="s">
        <v>677</v>
      </c>
      <c r="D160" s="8" t="s">
        <v>675</v>
      </c>
      <c r="E160" s="153">
        <v>0.79335648148148152</v>
      </c>
      <c r="F160" s="42">
        <v>2</v>
      </c>
      <c r="G160" s="238">
        <v>25352</v>
      </c>
      <c r="H160" s="9">
        <f t="shared" si="10"/>
        <v>50704</v>
      </c>
      <c r="I160" s="381" t="s">
        <v>676</v>
      </c>
      <c r="J160" s="20" t="s">
        <v>67</v>
      </c>
      <c r="K160" s="187">
        <v>0.58710648148148148</v>
      </c>
    </row>
    <row r="161" spans="1:11" s="11" customFormat="1" ht="24" customHeight="1" x14ac:dyDescent="0.35">
      <c r="A161" s="186"/>
      <c r="B161" s="162"/>
      <c r="C161" s="66" t="s">
        <v>757</v>
      </c>
      <c r="D161" s="676" t="s">
        <v>752</v>
      </c>
      <c r="E161" s="668">
        <v>0.12738425925925925</v>
      </c>
      <c r="F161" s="43">
        <v>2</v>
      </c>
      <c r="G161" s="237">
        <v>22524</v>
      </c>
      <c r="H161" s="164">
        <f t="shared" si="10"/>
        <v>45048</v>
      </c>
      <c r="I161" s="381" t="s">
        <v>676</v>
      </c>
      <c r="J161" s="20" t="s">
        <v>67</v>
      </c>
      <c r="K161" s="187">
        <v>0.37946759259259261</v>
      </c>
    </row>
    <row r="162" spans="1:11" s="11" customFormat="1" ht="24" customHeight="1" x14ac:dyDescent="0.35">
      <c r="A162" s="186"/>
      <c r="B162" s="162"/>
      <c r="C162" s="66" t="s">
        <v>756</v>
      </c>
      <c r="D162" s="677"/>
      <c r="E162" s="679"/>
      <c r="F162" s="42">
        <v>2</v>
      </c>
      <c r="G162" s="238">
        <v>20242</v>
      </c>
      <c r="H162" s="9">
        <f t="shared" si="10"/>
        <v>40484</v>
      </c>
      <c r="I162" s="381" t="s">
        <v>676</v>
      </c>
      <c r="J162" s="20" t="s">
        <v>67</v>
      </c>
      <c r="K162" s="187">
        <v>0.37946759259259261</v>
      </c>
    </row>
    <row r="163" spans="1:11" s="11" customFormat="1" ht="24" customHeight="1" x14ac:dyDescent="0.35">
      <c r="A163" s="186"/>
      <c r="B163" s="162"/>
      <c r="C163" s="66" t="s">
        <v>755</v>
      </c>
      <c r="D163" s="678"/>
      <c r="E163" s="669"/>
      <c r="F163" s="42">
        <v>2</v>
      </c>
      <c r="G163" s="238">
        <v>27615</v>
      </c>
      <c r="H163" s="9">
        <f t="shared" si="10"/>
        <v>55230</v>
      </c>
      <c r="I163" s="381" t="s">
        <v>676</v>
      </c>
      <c r="J163" s="20" t="s">
        <v>67</v>
      </c>
      <c r="K163" s="187">
        <v>0.37946759259259261</v>
      </c>
    </row>
    <row r="164" spans="1:11" s="11" customFormat="1" ht="24" customHeight="1" x14ac:dyDescent="0.35">
      <c r="A164" s="186"/>
      <c r="B164" s="162"/>
      <c r="C164" s="66" t="s">
        <v>741</v>
      </c>
      <c r="D164" s="8" t="s">
        <v>753</v>
      </c>
      <c r="E164" s="153">
        <v>0.12738425925925925</v>
      </c>
      <c r="F164" s="42">
        <v>1</v>
      </c>
      <c r="G164" s="238">
        <v>120912</v>
      </c>
      <c r="H164" s="9">
        <f>G164*F164</f>
        <v>120912</v>
      </c>
      <c r="I164" s="381" t="s">
        <v>754</v>
      </c>
      <c r="J164" s="20" t="s">
        <v>163</v>
      </c>
      <c r="K164" s="153" t="s">
        <v>490</v>
      </c>
    </row>
    <row r="165" spans="1:11" s="11" customFormat="1" ht="24" customHeight="1" x14ac:dyDescent="0.35">
      <c r="A165" s="186"/>
      <c r="B165" s="162"/>
      <c r="C165" s="66" t="s">
        <v>936</v>
      </c>
      <c r="D165" s="8" t="s">
        <v>937</v>
      </c>
      <c r="E165" s="153">
        <v>0.87738425925925922</v>
      </c>
      <c r="F165" s="42">
        <v>4</v>
      </c>
      <c r="G165" s="238">
        <v>17856</v>
      </c>
      <c r="H165" s="9">
        <f t="shared" si="10"/>
        <v>71424</v>
      </c>
      <c r="I165" s="381" t="s">
        <v>127</v>
      </c>
      <c r="J165" s="20" t="s">
        <v>67</v>
      </c>
      <c r="K165" s="153" t="s">
        <v>938</v>
      </c>
    </row>
    <row r="166" spans="1:11" s="11" customFormat="1" ht="24" customHeight="1" x14ac:dyDescent="0.35">
      <c r="A166" s="165"/>
      <c r="B166" s="166"/>
      <c r="C166" s="229"/>
      <c r="D166" s="230"/>
      <c r="E166" s="231"/>
      <c r="F166" s="232"/>
      <c r="G166" s="29" t="s">
        <v>12</v>
      </c>
      <c r="H166" s="29">
        <f>SUM(H151:H165)</f>
        <v>2145992.88</v>
      </c>
      <c r="I166" s="387"/>
      <c r="J166" s="233"/>
      <c r="K166" s="231"/>
    </row>
    <row r="167" spans="1:11" s="11" customFormat="1" ht="20" customHeight="1" x14ac:dyDescent="0.35">
      <c r="A167" s="20">
        <v>8</v>
      </c>
      <c r="B167" s="8" t="s">
        <v>80</v>
      </c>
      <c r="C167" s="66" t="s">
        <v>114</v>
      </c>
      <c r="D167" s="161" t="s">
        <v>115</v>
      </c>
      <c r="E167" s="305">
        <v>0.83917824074074077</v>
      </c>
      <c r="F167" s="3">
        <f>12-9</f>
        <v>3</v>
      </c>
      <c r="G167" s="9">
        <v>6582</v>
      </c>
      <c r="H167" s="9">
        <f t="shared" ref="H167:H172" si="11">G167*F167</f>
        <v>19746</v>
      </c>
      <c r="I167" s="422" t="s">
        <v>704</v>
      </c>
      <c r="J167" s="423" t="s">
        <v>30</v>
      </c>
      <c r="K167" s="3"/>
    </row>
    <row r="168" spans="1:11" s="11" customFormat="1" ht="20" customHeight="1" x14ac:dyDescent="0.35">
      <c r="A168" s="20"/>
      <c r="B168" s="158"/>
      <c r="C168" s="66" t="s">
        <v>166</v>
      </c>
      <c r="D168" s="772" t="s">
        <v>176</v>
      </c>
      <c r="E168" s="684">
        <v>9.195601851851852E-2</v>
      </c>
      <c r="F168" s="3">
        <f>12-8</f>
        <v>4</v>
      </c>
      <c r="G168" s="9">
        <v>4117.75</v>
      </c>
      <c r="H168" s="9">
        <f>G168*F168</f>
        <v>16471</v>
      </c>
      <c r="I168" s="28" t="s">
        <v>82</v>
      </c>
      <c r="J168" s="417"/>
      <c r="K168" s="3"/>
    </row>
    <row r="169" spans="1:11" s="11" customFormat="1" ht="20" customHeight="1" x14ac:dyDescent="0.35">
      <c r="A169" s="20"/>
      <c r="B169" s="158"/>
      <c r="C169" s="66" t="s">
        <v>168</v>
      </c>
      <c r="D169" s="773"/>
      <c r="E169" s="728"/>
      <c r="F169" s="3">
        <f>12-6</f>
        <v>6</v>
      </c>
      <c r="G169" s="9">
        <v>4115.8</v>
      </c>
      <c r="H169" s="9">
        <f>G169*F169</f>
        <v>24694.800000000003</v>
      </c>
      <c r="I169" s="28" t="s">
        <v>82</v>
      </c>
      <c r="J169" s="416" t="s">
        <v>153</v>
      </c>
      <c r="K169" s="3"/>
    </row>
    <row r="170" spans="1:11" ht="20" customHeight="1" x14ac:dyDescent="0.35">
      <c r="A170" s="41"/>
      <c r="B170" s="79"/>
      <c r="C170" s="66" t="s">
        <v>182</v>
      </c>
      <c r="D170" s="741" t="s">
        <v>190</v>
      </c>
      <c r="E170" s="684">
        <v>0.25862268518518522</v>
      </c>
      <c r="F170" s="42">
        <v>4</v>
      </c>
      <c r="G170" s="40">
        <v>8801</v>
      </c>
      <c r="H170" s="40">
        <f t="shared" si="11"/>
        <v>35204</v>
      </c>
      <c r="I170" s="388" t="s">
        <v>82</v>
      </c>
      <c r="J170" s="160" t="s">
        <v>163</v>
      </c>
      <c r="K170" s="160" t="s">
        <v>191</v>
      </c>
    </row>
    <row r="171" spans="1:11" ht="20" customHeight="1" x14ac:dyDescent="0.35">
      <c r="A171" s="41"/>
      <c r="B171" s="79"/>
      <c r="C171" s="66" t="s">
        <v>183</v>
      </c>
      <c r="D171" s="729"/>
      <c r="E171" s="728"/>
      <c r="F171" s="42">
        <v>4</v>
      </c>
      <c r="G171" s="40">
        <v>20527</v>
      </c>
      <c r="H171" s="40">
        <f t="shared" si="11"/>
        <v>82108</v>
      </c>
      <c r="I171" s="388" t="s">
        <v>82</v>
      </c>
      <c r="J171" s="160" t="s">
        <v>163</v>
      </c>
      <c r="K171" s="160" t="s">
        <v>191</v>
      </c>
    </row>
    <row r="172" spans="1:11" s="11" customFormat="1" ht="20" customHeight="1" x14ac:dyDescent="0.35">
      <c r="A172" s="20"/>
      <c r="B172" s="158"/>
      <c r="C172" s="66" t="s">
        <v>184</v>
      </c>
      <c r="D172" s="729"/>
      <c r="E172" s="728"/>
      <c r="F172" s="42">
        <v>8</v>
      </c>
      <c r="G172" s="9">
        <v>4407</v>
      </c>
      <c r="H172" s="9">
        <f t="shared" si="11"/>
        <v>35256</v>
      </c>
      <c r="I172" s="388" t="s">
        <v>82</v>
      </c>
      <c r="J172" s="160" t="s">
        <v>163</v>
      </c>
      <c r="K172" s="160" t="s">
        <v>191</v>
      </c>
    </row>
    <row r="173" spans="1:11" ht="20" customHeight="1" x14ac:dyDescent="0.35">
      <c r="A173" s="41"/>
      <c r="B173" s="79"/>
      <c r="C173" s="66" t="s">
        <v>186</v>
      </c>
      <c r="D173" s="729"/>
      <c r="E173" s="728"/>
      <c r="F173" s="42">
        <v>8</v>
      </c>
      <c r="G173" s="40">
        <v>15606.5</v>
      </c>
      <c r="H173" s="40">
        <f t="shared" ref="H173:H181" si="12">G173*F173</f>
        <v>124852</v>
      </c>
      <c r="I173" s="388" t="s">
        <v>82</v>
      </c>
      <c r="J173" s="160" t="s">
        <v>163</v>
      </c>
      <c r="K173" s="160" t="s">
        <v>191</v>
      </c>
    </row>
    <row r="174" spans="1:11" ht="20" customHeight="1" x14ac:dyDescent="0.35">
      <c r="A174" s="41"/>
      <c r="B174" s="79"/>
      <c r="C174" s="66" t="s">
        <v>187</v>
      </c>
      <c r="D174" s="729"/>
      <c r="E174" s="728"/>
      <c r="F174" s="42">
        <v>4</v>
      </c>
      <c r="G174" s="40">
        <v>30979</v>
      </c>
      <c r="H174" s="40">
        <f t="shared" si="12"/>
        <v>123916</v>
      </c>
      <c r="I174" s="388" t="s">
        <v>82</v>
      </c>
      <c r="J174" s="160" t="s">
        <v>163</v>
      </c>
      <c r="K174" s="160" t="s">
        <v>191</v>
      </c>
    </row>
    <row r="175" spans="1:11" s="11" customFormat="1" ht="14.5" x14ac:dyDescent="0.35">
      <c r="A175" s="20"/>
      <c r="B175" s="158"/>
      <c r="C175" s="66" t="s">
        <v>188</v>
      </c>
      <c r="D175" s="729"/>
      <c r="E175" s="728"/>
      <c r="F175" s="42">
        <v>2</v>
      </c>
      <c r="G175" s="9">
        <v>3211</v>
      </c>
      <c r="H175" s="9">
        <f t="shared" si="12"/>
        <v>6422</v>
      </c>
      <c r="I175" s="388" t="s">
        <v>82</v>
      </c>
      <c r="J175" s="160" t="s">
        <v>163</v>
      </c>
      <c r="K175" s="160" t="s">
        <v>191</v>
      </c>
    </row>
    <row r="176" spans="1:11" s="11" customFormat="1" ht="20" customHeight="1" x14ac:dyDescent="0.35">
      <c r="A176" s="20"/>
      <c r="B176" s="158"/>
      <c r="C176" s="66" t="s">
        <v>189</v>
      </c>
      <c r="D176" s="730"/>
      <c r="E176" s="731"/>
      <c r="F176" s="42">
        <v>4</v>
      </c>
      <c r="G176" s="9">
        <v>32526</v>
      </c>
      <c r="H176" s="9">
        <f t="shared" si="12"/>
        <v>130104</v>
      </c>
      <c r="I176" s="388" t="s">
        <v>82</v>
      </c>
      <c r="J176" s="160" t="s">
        <v>163</v>
      </c>
      <c r="K176" s="160" t="s">
        <v>191</v>
      </c>
    </row>
    <row r="177" spans="1:11" ht="20" customHeight="1" x14ac:dyDescent="0.35">
      <c r="A177" s="41"/>
      <c r="B177" s="79"/>
      <c r="C177" s="66" t="s">
        <v>228</v>
      </c>
      <c r="D177" s="729" t="s">
        <v>230</v>
      </c>
      <c r="E177" s="728">
        <v>0.46695601851851848</v>
      </c>
      <c r="F177" s="3">
        <v>4</v>
      </c>
      <c r="G177" s="40">
        <v>63001.9</v>
      </c>
      <c r="H177" s="40">
        <f t="shared" si="12"/>
        <v>252007.6</v>
      </c>
      <c r="I177" s="775" t="s">
        <v>424</v>
      </c>
      <c r="J177" s="747">
        <v>0.79405092592592597</v>
      </c>
      <c r="K177" s="747">
        <v>0.79405092592592597</v>
      </c>
    </row>
    <row r="178" spans="1:11" ht="20" customHeight="1" x14ac:dyDescent="0.35">
      <c r="A178" s="41"/>
      <c r="B178" s="79"/>
      <c r="C178" s="66" t="s">
        <v>229</v>
      </c>
      <c r="D178" s="730"/>
      <c r="E178" s="731"/>
      <c r="F178" s="3">
        <v>2</v>
      </c>
      <c r="G178" s="40">
        <v>5401.5</v>
      </c>
      <c r="H178" s="40">
        <f t="shared" si="12"/>
        <v>10803</v>
      </c>
      <c r="I178" s="776" t="s">
        <v>50</v>
      </c>
      <c r="J178" s="730">
        <v>0.62599537037037034</v>
      </c>
      <c r="K178" s="730">
        <v>0.62599537037037034</v>
      </c>
    </row>
    <row r="179" spans="1:11" ht="20" customHeight="1" x14ac:dyDescent="0.35">
      <c r="A179" s="41"/>
      <c r="B179" s="79"/>
      <c r="C179" s="66" t="s">
        <v>376</v>
      </c>
      <c r="D179" s="741" t="s">
        <v>375</v>
      </c>
      <c r="E179" s="684">
        <v>1.2586226851851852</v>
      </c>
      <c r="F179" s="3">
        <v>4</v>
      </c>
      <c r="G179" s="40">
        <v>4635</v>
      </c>
      <c r="H179" s="40">
        <f t="shared" si="12"/>
        <v>18540</v>
      </c>
      <c r="I179" s="774" t="s">
        <v>82</v>
      </c>
      <c r="J179" s="777" t="s">
        <v>30</v>
      </c>
      <c r="K179" s="746">
        <v>0.41905092592592591</v>
      </c>
    </row>
    <row r="180" spans="1:11" ht="20" customHeight="1" x14ac:dyDescent="0.35">
      <c r="A180" s="41"/>
      <c r="B180" s="79"/>
      <c r="C180" s="66" t="s">
        <v>377</v>
      </c>
      <c r="D180" s="729"/>
      <c r="E180" s="728"/>
      <c r="F180" s="3">
        <v>5</v>
      </c>
      <c r="G180" s="40">
        <v>29200</v>
      </c>
      <c r="H180" s="40">
        <f t="shared" si="12"/>
        <v>146000</v>
      </c>
      <c r="I180" s="775" t="s">
        <v>50</v>
      </c>
      <c r="J180" s="729">
        <v>0.62599537037037034</v>
      </c>
      <c r="K180" s="729">
        <v>0.62599537037037034</v>
      </c>
    </row>
    <row r="181" spans="1:11" s="11" customFormat="1" ht="29" customHeight="1" x14ac:dyDescent="0.35">
      <c r="A181" s="20"/>
      <c r="B181" s="158"/>
      <c r="C181" s="66" t="s">
        <v>519</v>
      </c>
      <c r="D181" s="730"/>
      <c r="E181" s="731"/>
      <c r="F181" s="3">
        <v>5</v>
      </c>
      <c r="G181" s="9">
        <v>11277</v>
      </c>
      <c r="H181" s="9">
        <f t="shared" si="12"/>
        <v>56385</v>
      </c>
      <c r="I181" s="776" t="s">
        <v>50</v>
      </c>
      <c r="J181" s="730" t="s">
        <v>30</v>
      </c>
      <c r="K181" s="730" t="s">
        <v>158</v>
      </c>
    </row>
    <row r="182" spans="1:11" s="252" customFormat="1" ht="19.25" customHeight="1" x14ac:dyDescent="0.35">
      <c r="A182" s="250"/>
      <c r="B182" s="253"/>
      <c r="C182" s="254" t="s">
        <v>503</v>
      </c>
      <c r="D182" s="713" t="s">
        <v>505</v>
      </c>
      <c r="E182" s="763">
        <v>1.2509953703703702</v>
      </c>
      <c r="F182" s="251">
        <v>10</v>
      </c>
      <c r="G182" s="255">
        <v>27969</v>
      </c>
      <c r="H182" s="255">
        <f t="shared" ref="H182:H188" si="13">G182*F182</f>
        <v>279690</v>
      </c>
      <c r="I182" s="389" t="s">
        <v>28</v>
      </c>
      <c r="J182" s="251" t="s">
        <v>30</v>
      </c>
      <c r="K182" s="257">
        <v>0.41974537037037035</v>
      </c>
    </row>
    <row r="183" spans="1:11" s="252" customFormat="1" ht="19.25" customHeight="1" x14ac:dyDescent="0.35">
      <c r="A183" s="250"/>
      <c r="B183" s="253"/>
      <c r="C183" s="254" t="s">
        <v>504</v>
      </c>
      <c r="D183" s="714"/>
      <c r="E183" s="764"/>
      <c r="F183" s="251">
        <v>12</v>
      </c>
      <c r="G183" s="255">
        <v>30624</v>
      </c>
      <c r="H183" s="255">
        <f t="shared" si="13"/>
        <v>367488</v>
      </c>
      <c r="I183" s="390" t="s">
        <v>28</v>
      </c>
      <c r="J183" s="251" t="s">
        <v>30</v>
      </c>
      <c r="K183" s="258">
        <v>0.41974537037037035</v>
      </c>
    </row>
    <row r="184" spans="1:11" s="11" customFormat="1" ht="20" customHeight="1" x14ac:dyDescent="0.35">
      <c r="A184" s="20"/>
      <c r="B184" s="158"/>
      <c r="C184" s="8" t="s">
        <v>553</v>
      </c>
      <c r="D184" s="161" t="s">
        <v>554</v>
      </c>
      <c r="E184" s="305">
        <v>1.167662037037037</v>
      </c>
      <c r="F184" s="3">
        <v>2</v>
      </c>
      <c r="G184" s="9">
        <v>5432.7</v>
      </c>
      <c r="H184" s="9">
        <f t="shared" si="13"/>
        <v>10865.4</v>
      </c>
      <c r="I184" s="388" t="s">
        <v>555</v>
      </c>
      <c r="J184" s="160" t="s">
        <v>556</v>
      </c>
      <c r="K184" s="160">
        <v>0.12738425925925925</v>
      </c>
    </row>
    <row r="185" spans="1:11" ht="20.399999999999999" customHeight="1" x14ac:dyDescent="0.35">
      <c r="A185" s="41"/>
      <c r="B185" s="79"/>
      <c r="C185" s="66" t="s">
        <v>572</v>
      </c>
      <c r="D185" s="741" t="s">
        <v>568</v>
      </c>
      <c r="E185" s="684">
        <v>1.2093287037037037</v>
      </c>
      <c r="F185" s="3">
        <v>4</v>
      </c>
      <c r="G185" s="40">
        <v>9241</v>
      </c>
      <c r="H185" s="40">
        <f t="shared" si="13"/>
        <v>36964</v>
      </c>
      <c r="I185" s="774" t="s">
        <v>157</v>
      </c>
      <c r="J185" s="777" t="s">
        <v>30</v>
      </c>
      <c r="K185" s="746">
        <v>0.5447453703703703</v>
      </c>
    </row>
    <row r="186" spans="1:11" ht="20.399999999999999" customHeight="1" x14ac:dyDescent="0.35">
      <c r="A186" s="41"/>
      <c r="B186" s="79"/>
      <c r="C186" s="66" t="s">
        <v>571</v>
      </c>
      <c r="D186" s="729"/>
      <c r="E186" s="728"/>
      <c r="F186" s="3">
        <v>8</v>
      </c>
      <c r="G186" s="40">
        <v>9773</v>
      </c>
      <c r="H186" s="40">
        <f t="shared" si="13"/>
        <v>78184</v>
      </c>
      <c r="I186" s="775"/>
      <c r="J186" s="742"/>
      <c r="K186" s="747"/>
    </row>
    <row r="187" spans="1:11" ht="20.399999999999999" customHeight="1" x14ac:dyDescent="0.35">
      <c r="A187" s="41"/>
      <c r="B187" s="79"/>
      <c r="C187" s="66" t="s">
        <v>570</v>
      </c>
      <c r="D187" s="729"/>
      <c r="E187" s="728"/>
      <c r="F187" s="3">
        <v>6</v>
      </c>
      <c r="G187" s="40">
        <v>4068</v>
      </c>
      <c r="H187" s="40">
        <f t="shared" si="13"/>
        <v>24408</v>
      </c>
      <c r="I187" s="775" t="s">
        <v>50</v>
      </c>
      <c r="J187" s="729">
        <v>0.62599537037037034</v>
      </c>
      <c r="K187" s="729">
        <v>0.62599537037037034</v>
      </c>
    </row>
    <row r="188" spans="1:11" s="11" customFormat="1" ht="20.399999999999999" customHeight="1" x14ac:dyDescent="0.35">
      <c r="A188" s="20"/>
      <c r="B188" s="158"/>
      <c r="C188" s="66" t="s">
        <v>569</v>
      </c>
      <c r="D188" s="730"/>
      <c r="E188" s="731"/>
      <c r="F188" s="3">
        <v>8</v>
      </c>
      <c r="G188" s="9">
        <v>16770</v>
      </c>
      <c r="H188" s="9">
        <f t="shared" si="13"/>
        <v>134160</v>
      </c>
      <c r="I188" s="776" t="s">
        <v>50</v>
      </c>
      <c r="J188" s="730" t="s">
        <v>30</v>
      </c>
      <c r="K188" s="730" t="s">
        <v>158</v>
      </c>
    </row>
    <row r="189" spans="1:11" s="11" customFormat="1" ht="19.25" customHeight="1" x14ac:dyDescent="0.35">
      <c r="A189" s="20"/>
      <c r="B189" s="158"/>
      <c r="C189" s="66" t="s">
        <v>628</v>
      </c>
      <c r="D189" s="735" t="s">
        <v>629</v>
      </c>
      <c r="E189" s="749">
        <v>0.4600231481481481</v>
      </c>
      <c r="F189" s="3">
        <v>9</v>
      </c>
      <c r="G189" s="9">
        <v>7089</v>
      </c>
      <c r="H189" s="9">
        <f t="shared" ref="H189:H206" si="14">G189*F189</f>
        <v>63801</v>
      </c>
      <c r="I189" s="391" t="s">
        <v>590</v>
      </c>
      <c r="J189" s="3" t="s">
        <v>39</v>
      </c>
      <c r="K189" s="352">
        <v>0.25377314814814816</v>
      </c>
    </row>
    <row r="190" spans="1:11" s="11" customFormat="1" ht="19.25" customHeight="1" x14ac:dyDescent="0.35">
      <c r="A190" s="20"/>
      <c r="B190" s="158"/>
      <c r="C190" s="66" t="s">
        <v>679</v>
      </c>
      <c r="D190" s="737"/>
      <c r="E190" s="750"/>
      <c r="F190" s="3">
        <v>3</v>
      </c>
      <c r="G190" s="9">
        <v>6157</v>
      </c>
      <c r="H190" s="9">
        <f t="shared" si="14"/>
        <v>18471</v>
      </c>
      <c r="I190" s="391" t="s">
        <v>590</v>
      </c>
      <c r="J190" s="3" t="s">
        <v>39</v>
      </c>
      <c r="K190" s="353">
        <v>0.25377314814814816</v>
      </c>
    </row>
    <row r="191" spans="1:11" s="11" customFormat="1" ht="19.25" customHeight="1" x14ac:dyDescent="0.35">
      <c r="A191" s="20"/>
      <c r="B191" s="676" t="s">
        <v>705</v>
      </c>
      <c r="C191" s="66" t="s">
        <v>684</v>
      </c>
      <c r="D191" s="735" t="s">
        <v>685</v>
      </c>
      <c r="E191" s="749">
        <v>0.79335648148148152</v>
      </c>
      <c r="F191" s="3">
        <v>2</v>
      </c>
      <c r="G191" s="9">
        <v>8216</v>
      </c>
      <c r="H191" s="9">
        <f t="shared" si="14"/>
        <v>16432</v>
      </c>
      <c r="I191" s="388" t="s">
        <v>639</v>
      </c>
      <c r="J191" s="3" t="s">
        <v>678</v>
      </c>
      <c r="K191" s="160" t="s">
        <v>286</v>
      </c>
    </row>
    <row r="192" spans="1:11" s="11" customFormat="1" ht="19.25" customHeight="1" x14ac:dyDescent="0.35">
      <c r="A192" s="20"/>
      <c r="B192" s="677"/>
      <c r="C192" s="66" t="s">
        <v>683</v>
      </c>
      <c r="D192" s="736"/>
      <c r="E192" s="753"/>
      <c r="F192" s="3">
        <v>5</v>
      </c>
      <c r="G192" s="9">
        <v>23049</v>
      </c>
      <c r="H192" s="9">
        <f t="shared" si="14"/>
        <v>115245</v>
      </c>
      <c r="I192" s="388" t="s">
        <v>639</v>
      </c>
      <c r="J192" s="3" t="s">
        <v>678</v>
      </c>
      <c r="K192" s="160" t="s">
        <v>286</v>
      </c>
    </row>
    <row r="193" spans="1:11" s="11" customFormat="1" ht="19.25" customHeight="1" x14ac:dyDescent="0.35">
      <c r="A193" s="20"/>
      <c r="B193" s="677"/>
      <c r="C193" s="66" t="s">
        <v>682</v>
      </c>
      <c r="D193" s="736"/>
      <c r="E193" s="753"/>
      <c r="F193" s="3">
        <v>6</v>
      </c>
      <c r="G193" s="9">
        <v>8632</v>
      </c>
      <c r="H193" s="9">
        <f t="shared" si="14"/>
        <v>51792</v>
      </c>
      <c r="I193" s="388" t="s">
        <v>639</v>
      </c>
      <c r="J193" s="3" t="s">
        <v>678</v>
      </c>
      <c r="K193" s="160" t="s">
        <v>286</v>
      </c>
    </row>
    <row r="194" spans="1:11" s="11" customFormat="1" ht="19.25" customHeight="1" x14ac:dyDescent="0.35">
      <c r="A194" s="20"/>
      <c r="B194" s="677"/>
      <c r="C194" s="66" t="s">
        <v>681</v>
      </c>
      <c r="D194" s="736"/>
      <c r="E194" s="753"/>
      <c r="F194" s="3">
        <v>3</v>
      </c>
      <c r="G194" s="9">
        <v>12545</v>
      </c>
      <c r="H194" s="9">
        <f t="shared" si="14"/>
        <v>37635</v>
      </c>
      <c r="I194" s="388" t="s">
        <v>639</v>
      </c>
      <c r="J194" s="3" t="s">
        <v>678</v>
      </c>
      <c r="K194" s="160" t="s">
        <v>286</v>
      </c>
    </row>
    <row r="195" spans="1:11" s="11" customFormat="1" ht="19.25" customHeight="1" x14ac:dyDescent="0.35">
      <c r="A195" s="20"/>
      <c r="B195" s="678"/>
      <c r="C195" s="66" t="s">
        <v>680</v>
      </c>
      <c r="D195" s="737"/>
      <c r="E195" s="750"/>
      <c r="F195" s="3">
        <v>4</v>
      </c>
      <c r="G195" s="9">
        <v>7546.5</v>
      </c>
      <c r="H195" s="9">
        <f t="shared" si="14"/>
        <v>30186</v>
      </c>
      <c r="I195" s="388" t="s">
        <v>639</v>
      </c>
      <c r="J195" s="3" t="s">
        <v>678</v>
      </c>
      <c r="K195" s="160" t="s">
        <v>286</v>
      </c>
    </row>
    <row r="196" spans="1:11" s="11" customFormat="1" ht="20" customHeight="1" x14ac:dyDescent="0.35">
      <c r="A196" s="20"/>
      <c r="B196" s="158"/>
      <c r="C196" s="8" t="s">
        <v>780</v>
      </c>
      <c r="D196" s="161" t="s">
        <v>781</v>
      </c>
      <c r="E196" s="187">
        <v>0.41905092592592591</v>
      </c>
      <c r="F196" s="3">
        <v>72</v>
      </c>
      <c r="G196" s="9">
        <v>28940</v>
      </c>
      <c r="H196" s="9">
        <f t="shared" si="14"/>
        <v>2083680</v>
      </c>
      <c r="I196" s="388" t="s">
        <v>50</v>
      </c>
      <c r="J196" s="160" t="s">
        <v>41</v>
      </c>
      <c r="K196" s="160">
        <v>0.79543981481481485</v>
      </c>
    </row>
    <row r="197" spans="1:11" s="11" customFormat="1" ht="19.25" customHeight="1" x14ac:dyDescent="0.35">
      <c r="A197" s="20"/>
      <c r="B197" s="706" t="s">
        <v>939</v>
      </c>
      <c r="C197" s="495" t="s">
        <v>855</v>
      </c>
      <c r="D197" s="738" t="s">
        <v>859</v>
      </c>
      <c r="E197" s="751">
        <v>0.5857175925925926</v>
      </c>
      <c r="F197" s="3">
        <v>4</v>
      </c>
      <c r="G197" s="9">
        <v>11816</v>
      </c>
      <c r="H197" s="9">
        <f t="shared" si="14"/>
        <v>47264</v>
      </c>
      <c r="I197" s="388" t="s">
        <v>421</v>
      </c>
      <c r="J197" s="160" t="s">
        <v>41</v>
      </c>
      <c r="K197" s="160">
        <v>0.21349537037037036</v>
      </c>
    </row>
    <row r="198" spans="1:11" s="11" customFormat="1" ht="19.25" customHeight="1" x14ac:dyDescent="0.35">
      <c r="A198" s="20"/>
      <c r="B198" s="707"/>
      <c r="C198" s="495" t="s">
        <v>856</v>
      </c>
      <c r="D198" s="738"/>
      <c r="E198" s="753"/>
      <c r="F198" s="3">
        <v>4</v>
      </c>
      <c r="G198" s="9">
        <v>7035</v>
      </c>
      <c r="H198" s="9">
        <f t="shared" si="14"/>
        <v>28140</v>
      </c>
      <c r="I198" s="388" t="s">
        <v>421</v>
      </c>
      <c r="J198" s="160" t="s">
        <v>41</v>
      </c>
      <c r="K198" s="160">
        <v>0.21349537037037036</v>
      </c>
    </row>
    <row r="199" spans="1:11" s="11" customFormat="1" ht="19.25" customHeight="1" x14ac:dyDescent="0.35">
      <c r="A199" s="20"/>
      <c r="B199" s="707"/>
      <c r="C199" s="495" t="s">
        <v>857</v>
      </c>
      <c r="D199" s="738"/>
      <c r="E199" s="753"/>
      <c r="F199" s="3">
        <v>6</v>
      </c>
      <c r="G199" s="9">
        <v>7966</v>
      </c>
      <c r="H199" s="9">
        <f t="shared" si="14"/>
        <v>47796</v>
      </c>
      <c r="I199" s="388" t="s">
        <v>421</v>
      </c>
      <c r="J199" s="160" t="s">
        <v>41</v>
      </c>
      <c r="K199" s="160">
        <v>0.21349537037037036</v>
      </c>
    </row>
    <row r="200" spans="1:11" s="11" customFormat="1" ht="19.25" customHeight="1" x14ac:dyDescent="0.35">
      <c r="A200" s="20"/>
      <c r="B200" s="708"/>
      <c r="C200" s="495" t="s">
        <v>858</v>
      </c>
      <c r="D200" s="738"/>
      <c r="E200" s="753"/>
      <c r="F200" s="3">
        <v>6</v>
      </c>
      <c r="G200" s="9">
        <v>6846</v>
      </c>
      <c r="H200" s="9">
        <f t="shared" si="14"/>
        <v>41076</v>
      </c>
      <c r="I200" s="388" t="s">
        <v>421</v>
      </c>
      <c r="J200" s="160" t="s">
        <v>41</v>
      </c>
      <c r="K200" s="160">
        <v>0.21349537037037036</v>
      </c>
    </row>
    <row r="201" spans="1:11" s="11" customFormat="1" ht="19.25" customHeight="1" x14ac:dyDescent="0.35">
      <c r="A201" s="20"/>
      <c r="B201" s="706"/>
      <c r="C201" s="495" t="s">
        <v>959</v>
      </c>
      <c r="D201" s="738" t="s">
        <v>999</v>
      </c>
      <c r="E201" s="751" t="s">
        <v>1000</v>
      </c>
      <c r="F201" s="279">
        <v>6</v>
      </c>
      <c r="G201" s="9">
        <v>4764.5</v>
      </c>
      <c r="H201" s="9">
        <f t="shared" si="14"/>
        <v>28587</v>
      </c>
      <c r="I201" s="388" t="s">
        <v>421</v>
      </c>
      <c r="J201" s="160" t="s">
        <v>39</v>
      </c>
      <c r="K201" s="160">
        <v>0.75446759259259266</v>
      </c>
    </row>
    <row r="202" spans="1:11" s="11" customFormat="1" ht="19.25" customHeight="1" x14ac:dyDescent="0.35">
      <c r="A202" s="20"/>
      <c r="B202" s="707"/>
      <c r="C202" s="495" t="s">
        <v>961</v>
      </c>
      <c r="D202" s="738"/>
      <c r="E202" s="752"/>
      <c r="F202" s="279">
        <v>6</v>
      </c>
      <c r="G202" s="9">
        <v>7052.5</v>
      </c>
      <c r="H202" s="9">
        <f t="shared" si="14"/>
        <v>42315</v>
      </c>
      <c r="I202" s="388" t="s">
        <v>421</v>
      </c>
      <c r="J202" s="160" t="s">
        <v>39</v>
      </c>
      <c r="K202" s="160">
        <v>0.75446759259259266</v>
      </c>
    </row>
    <row r="203" spans="1:11" s="11" customFormat="1" ht="19.25" customHeight="1" x14ac:dyDescent="0.35">
      <c r="A203" s="20"/>
      <c r="B203" s="707"/>
      <c r="C203" s="495" t="s">
        <v>966</v>
      </c>
      <c r="D203" s="738"/>
      <c r="E203" s="752"/>
      <c r="F203" s="279">
        <v>6</v>
      </c>
      <c r="G203" s="9">
        <v>7280</v>
      </c>
      <c r="H203" s="9">
        <f>G203*F203</f>
        <v>43680</v>
      </c>
      <c r="I203" s="388" t="s">
        <v>421</v>
      </c>
      <c r="J203" s="160" t="s">
        <v>39</v>
      </c>
      <c r="K203" s="160">
        <v>0.75446759259259266</v>
      </c>
    </row>
    <row r="204" spans="1:11" s="11" customFormat="1" ht="19.25" customHeight="1" x14ac:dyDescent="0.35">
      <c r="A204" s="20"/>
      <c r="B204" s="707"/>
      <c r="C204" s="495" t="s">
        <v>965</v>
      </c>
      <c r="D204" s="738"/>
      <c r="E204" s="753"/>
      <c r="F204" s="279">
        <v>4</v>
      </c>
      <c r="G204" s="9">
        <v>6409</v>
      </c>
      <c r="H204" s="9">
        <f t="shared" si="14"/>
        <v>25636</v>
      </c>
      <c r="I204" s="388" t="s">
        <v>421</v>
      </c>
      <c r="J204" s="160" t="s">
        <v>39</v>
      </c>
      <c r="K204" s="160">
        <v>0.75446759259259266</v>
      </c>
    </row>
    <row r="205" spans="1:11" s="11" customFormat="1" ht="19.25" customHeight="1" x14ac:dyDescent="0.35">
      <c r="A205" s="20"/>
      <c r="B205" s="707"/>
      <c r="C205" s="495" t="s">
        <v>964</v>
      </c>
      <c r="D205" s="738"/>
      <c r="E205" s="753"/>
      <c r="F205" s="279">
        <v>6</v>
      </c>
      <c r="G205" s="9">
        <v>7280</v>
      </c>
      <c r="H205" s="9">
        <f t="shared" si="14"/>
        <v>43680</v>
      </c>
      <c r="I205" s="388" t="s">
        <v>421</v>
      </c>
      <c r="J205" s="160" t="s">
        <v>39</v>
      </c>
      <c r="K205" s="160">
        <v>0.75446759259259266</v>
      </c>
    </row>
    <row r="206" spans="1:11" s="11" customFormat="1" ht="19.25" customHeight="1" x14ac:dyDescent="0.35">
      <c r="A206" s="20"/>
      <c r="B206" s="708"/>
      <c r="C206" s="495" t="s">
        <v>963</v>
      </c>
      <c r="D206" s="738"/>
      <c r="E206" s="753"/>
      <c r="F206" s="279">
        <v>19</v>
      </c>
      <c r="G206" s="9">
        <v>10211.5</v>
      </c>
      <c r="H206" s="9">
        <f t="shared" si="14"/>
        <v>194018.5</v>
      </c>
      <c r="I206" s="388" t="s">
        <v>421</v>
      </c>
      <c r="J206" s="160" t="s">
        <v>39</v>
      </c>
      <c r="K206" s="160">
        <v>0.75446759259259266</v>
      </c>
    </row>
    <row r="207" spans="1:11" s="11" customFormat="1" ht="19.25" customHeight="1" x14ac:dyDescent="0.35">
      <c r="A207" s="20"/>
      <c r="B207" s="706"/>
      <c r="C207" s="495" t="s">
        <v>987</v>
      </c>
      <c r="D207" s="738" t="s">
        <v>1001</v>
      </c>
      <c r="E207" s="739" t="s">
        <v>1000</v>
      </c>
      <c r="F207" s="279">
        <v>8</v>
      </c>
      <c r="G207" s="9">
        <v>3242.2</v>
      </c>
      <c r="H207" s="9">
        <f>G207*F207</f>
        <v>25937.599999999999</v>
      </c>
      <c r="I207" s="388" t="s">
        <v>1002</v>
      </c>
      <c r="J207" s="160" t="s">
        <v>39</v>
      </c>
      <c r="K207" s="160">
        <v>0.75446759259259266</v>
      </c>
    </row>
    <row r="208" spans="1:11" s="11" customFormat="1" ht="19.25" customHeight="1" x14ac:dyDescent="0.35">
      <c r="A208" s="20"/>
      <c r="B208" s="707"/>
      <c r="C208" s="495" t="s">
        <v>989</v>
      </c>
      <c r="D208" s="738"/>
      <c r="E208" s="739"/>
      <c r="F208" s="279">
        <v>7</v>
      </c>
      <c r="G208" s="9">
        <v>5539.3</v>
      </c>
      <c r="H208" s="9">
        <f>G208*F208</f>
        <v>38775.1</v>
      </c>
      <c r="I208" s="388" t="s">
        <v>1002</v>
      </c>
      <c r="J208" s="160" t="s">
        <v>39</v>
      </c>
      <c r="K208" s="160">
        <v>0.75446759259259266</v>
      </c>
    </row>
    <row r="209" spans="1:12" s="11" customFormat="1" ht="19.25" customHeight="1" x14ac:dyDescent="0.35">
      <c r="A209" s="20"/>
      <c r="B209" s="707"/>
      <c r="C209" s="495" t="s">
        <v>992</v>
      </c>
      <c r="D209" s="738"/>
      <c r="E209" s="740"/>
      <c r="F209" s="279">
        <v>4</v>
      </c>
      <c r="G209" s="9">
        <v>4274.3999999999996</v>
      </c>
      <c r="H209" s="9">
        <f>G209*F209</f>
        <v>17097.599999999999</v>
      </c>
      <c r="I209" s="388" t="s">
        <v>1002</v>
      </c>
      <c r="J209" s="160" t="s">
        <v>39</v>
      </c>
      <c r="K209" s="160">
        <v>0.75446759259259266</v>
      </c>
    </row>
    <row r="210" spans="1:12" s="11" customFormat="1" ht="19.25" customHeight="1" x14ac:dyDescent="0.35">
      <c r="A210" s="20"/>
      <c r="B210" s="707"/>
      <c r="C210" s="495" t="s">
        <v>993</v>
      </c>
      <c r="D210" s="738"/>
      <c r="E210" s="740"/>
      <c r="F210" s="279">
        <v>4</v>
      </c>
      <c r="G210" s="9">
        <v>3552.25</v>
      </c>
      <c r="H210" s="9">
        <f>G210*F210</f>
        <v>14209</v>
      </c>
      <c r="I210" s="388" t="s">
        <v>1002</v>
      </c>
      <c r="J210" s="160" t="s">
        <v>39</v>
      </c>
      <c r="K210" s="160">
        <v>0.75446759259259266</v>
      </c>
    </row>
    <row r="211" spans="1:12" s="11" customFormat="1" ht="19.25" customHeight="1" x14ac:dyDescent="0.35">
      <c r="A211" s="20"/>
      <c r="B211" s="708"/>
      <c r="C211" s="495" t="s">
        <v>994</v>
      </c>
      <c r="D211" s="738"/>
      <c r="E211" s="740"/>
      <c r="F211" s="279">
        <v>6</v>
      </c>
      <c r="G211" s="9">
        <v>9184.5</v>
      </c>
      <c r="H211" s="9">
        <f>G211*F211</f>
        <v>55107</v>
      </c>
      <c r="I211" s="388" t="s">
        <v>1002</v>
      </c>
      <c r="J211" s="160" t="s">
        <v>39</v>
      </c>
      <c r="K211" s="160">
        <v>0.75446759259259266</v>
      </c>
    </row>
    <row r="212" spans="1:12" ht="15" customHeight="1" x14ac:dyDescent="0.35">
      <c r="C212" s="77"/>
      <c r="F212" s="30"/>
      <c r="G212" s="29" t="s">
        <v>12</v>
      </c>
      <c r="H212" s="29">
        <f>SUM(H167:H211)</f>
        <v>5124829.5999999987</v>
      </c>
    </row>
    <row r="213" spans="1:12" s="11" customFormat="1" ht="21" customHeight="1" x14ac:dyDescent="0.35">
      <c r="A213" s="20">
        <v>10</v>
      </c>
      <c r="B213" s="8" t="s">
        <v>127</v>
      </c>
      <c r="C213" s="66" t="s">
        <v>122</v>
      </c>
      <c r="D213" s="741" t="s">
        <v>126</v>
      </c>
      <c r="E213" s="746">
        <v>0.38223379629629628</v>
      </c>
      <c r="F213" s="42">
        <v>2</v>
      </c>
      <c r="G213" s="9">
        <v>20961</v>
      </c>
      <c r="H213" s="9">
        <f>G213*F213</f>
        <v>41922</v>
      </c>
      <c r="I213" s="381" t="s">
        <v>111</v>
      </c>
      <c r="J213" s="759">
        <v>1.2093287037037037</v>
      </c>
      <c r="K213" s="778" t="s">
        <v>356</v>
      </c>
    </row>
    <row r="214" spans="1:12" s="11" customFormat="1" ht="21" customHeight="1" x14ac:dyDescent="0.35">
      <c r="A214" s="20"/>
      <c r="B214" s="158"/>
      <c r="C214" s="66" t="s">
        <v>123</v>
      </c>
      <c r="D214" s="729"/>
      <c r="E214" s="729"/>
      <c r="F214" s="42">
        <v>4</v>
      </c>
      <c r="G214" s="9">
        <v>20961</v>
      </c>
      <c r="H214" s="9">
        <f>G214*F214</f>
        <v>83844</v>
      </c>
      <c r="I214" s="381" t="s">
        <v>111</v>
      </c>
      <c r="J214" s="678"/>
      <c r="K214" s="779"/>
    </row>
    <row r="215" spans="1:12" s="11" customFormat="1" ht="21" customHeight="1" x14ac:dyDescent="0.35">
      <c r="A215" s="20"/>
      <c r="B215" s="158"/>
      <c r="C215" s="66" t="s">
        <v>462</v>
      </c>
      <c r="D215" s="729" t="s">
        <v>463</v>
      </c>
      <c r="E215" s="742">
        <v>1.1259953703703702</v>
      </c>
      <c r="F215" s="42">
        <v>1</v>
      </c>
      <c r="G215" s="9">
        <v>2295</v>
      </c>
      <c r="H215" s="9">
        <f>G215*F215</f>
        <v>2295</v>
      </c>
      <c r="I215" s="563" t="s">
        <v>464</v>
      </c>
      <c r="J215" s="157" t="s">
        <v>41</v>
      </c>
      <c r="K215" s="562">
        <v>0.87807870370370367</v>
      </c>
    </row>
    <row r="216" spans="1:12" s="11" customFormat="1" ht="21" customHeight="1" x14ac:dyDescent="0.35">
      <c r="A216" s="20"/>
      <c r="B216" s="158"/>
      <c r="C216" s="66" t="s">
        <v>461</v>
      </c>
      <c r="D216" s="730"/>
      <c r="E216" s="730"/>
      <c r="F216" s="42">
        <v>1</v>
      </c>
      <c r="G216" s="9">
        <v>5575</v>
      </c>
      <c r="H216" s="9">
        <f>G216*F216</f>
        <v>5575</v>
      </c>
      <c r="I216" s="563" t="s">
        <v>464</v>
      </c>
      <c r="J216" s="157" t="s">
        <v>41</v>
      </c>
      <c r="K216" s="562">
        <v>0.87807870370370367</v>
      </c>
    </row>
    <row r="217" spans="1:12" s="70" customFormat="1" ht="18.649999999999999" customHeight="1" x14ac:dyDescent="0.35">
      <c r="A217" s="126"/>
      <c r="B217" s="215"/>
      <c r="C217" s="154" t="s">
        <v>419</v>
      </c>
      <c r="D217" s="205" t="s">
        <v>417</v>
      </c>
      <c r="E217" s="115">
        <v>0.58432870370370371</v>
      </c>
      <c r="F217" s="206">
        <v>2</v>
      </c>
      <c r="G217" s="207">
        <v>1522306</v>
      </c>
      <c r="H217" s="207">
        <f>F217*G217</f>
        <v>3044612</v>
      </c>
      <c r="I217" s="392" t="s">
        <v>421</v>
      </c>
      <c r="J217" s="126" t="s">
        <v>1152</v>
      </c>
      <c r="K217" s="205">
        <v>0.12946759259259258</v>
      </c>
      <c r="L217" s="126"/>
    </row>
    <row r="218" spans="1:12" s="70" customFormat="1" ht="18.649999999999999" customHeight="1" x14ac:dyDescent="0.35">
      <c r="A218" s="126"/>
      <c r="B218" s="215"/>
      <c r="C218" s="154" t="s">
        <v>415</v>
      </c>
      <c r="D218" s="205" t="s">
        <v>418</v>
      </c>
      <c r="E218" s="205">
        <v>0.58432870370370371</v>
      </c>
      <c r="F218" s="206">
        <v>1</v>
      </c>
      <c r="G218" s="207">
        <v>14839</v>
      </c>
      <c r="H218" s="207">
        <f>F218*G218</f>
        <v>14839</v>
      </c>
      <c r="I218" s="392" t="s">
        <v>420</v>
      </c>
      <c r="J218" s="126" t="s">
        <v>1152</v>
      </c>
      <c r="K218" s="205">
        <v>0.25377314814814816</v>
      </c>
      <c r="L218" s="126"/>
    </row>
    <row r="219" spans="1:12" s="11" customFormat="1" ht="21" customHeight="1" x14ac:dyDescent="0.35">
      <c r="A219" s="20"/>
      <c r="B219" s="158"/>
      <c r="C219" s="66" t="s">
        <v>535</v>
      </c>
      <c r="D219" s="416" t="s">
        <v>521</v>
      </c>
      <c r="E219" s="580">
        <v>1.2093287037037037</v>
      </c>
      <c r="F219" s="42">
        <v>2</v>
      </c>
      <c r="G219" s="9">
        <v>6072</v>
      </c>
      <c r="H219" s="9">
        <f>G219*F219</f>
        <v>12144</v>
      </c>
      <c r="I219" s="381" t="s">
        <v>543</v>
      </c>
      <c r="J219" s="20" t="s">
        <v>41</v>
      </c>
      <c r="K219" s="34"/>
    </row>
    <row r="220" spans="1:12" s="11" customFormat="1" ht="21" customHeight="1" x14ac:dyDescent="0.35">
      <c r="A220" s="20"/>
      <c r="B220" s="8"/>
      <c r="C220" s="636" t="s">
        <v>1191</v>
      </c>
      <c r="D220" s="743" t="s">
        <v>1197</v>
      </c>
      <c r="E220" s="746">
        <v>0.12807870370370369</v>
      </c>
      <c r="F220" s="523">
        <v>1</v>
      </c>
      <c r="G220" s="9">
        <v>51627</v>
      </c>
      <c r="H220" s="9">
        <f t="shared" ref="H220:H229" si="15">G220*F220</f>
        <v>51627</v>
      </c>
      <c r="I220" s="381" t="s">
        <v>411</v>
      </c>
      <c r="J220" s="20" t="s">
        <v>41</v>
      </c>
      <c r="K220" s="34">
        <v>0.50446759259259266</v>
      </c>
    </row>
    <row r="221" spans="1:12" s="11" customFormat="1" ht="21" customHeight="1" x14ac:dyDescent="0.35">
      <c r="A221" s="20"/>
      <c r="B221" s="158"/>
      <c r="C221" s="636" t="s">
        <v>1190</v>
      </c>
      <c r="D221" s="744"/>
      <c r="E221" s="747"/>
      <c r="F221" s="523">
        <v>1</v>
      </c>
      <c r="G221" s="9">
        <v>12247</v>
      </c>
      <c r="H221" s="9">
        <f t="shared" si="15"/>
        <v>12247</v>
      </c>
      <c r="I221" s="381" t="s">
        <v>411</v>
      </c>
      <c r="J221" s="20" t="s">
        <v>41</v>
      </c>
      <c r="K221" s="34">
        <v>0.50446759259259266</v>
      </c>
    </row>
    <row r="222" spans="1:12" s="11" customFormat="1" ht="21" customHeight="1" x14ac:dyDescent="0.35">
      <c r="A222" s="20"/>
      <c r="B222" s="158"/>
      <c r="C222" s="636" t="s">
        <v>1189</v>
      </c>
      <c r="D222" s="744"/>
      <c r="E222" s="747"/>
      <c r="F222" s="523">
        <v>1</v>
      </c>
      <c r="G222" s="9">
        <v>4768</v>
      </c>
      <c r="H222" s="9">
        <f>G222*F222</f>
        <v>4768</v>
      </c>
      <c r="I222" s="381" t="s">
        <v>411</v>
      </c>
      <c r="J222" s="20" t="s">
        <v>41</v>
      </c>
      <c r="K222" s="34">
        <v>0.50446759259259266</v>
      </c>
    </row>
    <row r="223" spans="1:12" s="11" customFormat="1" ht="21" customHeight="1" x14ac:dyDescent="0.35">
      <c r="A223" s="20"/>
      <c r="B223" s="158"/>
      <c r="C223" s="636" t="s">
        <v>1188</v>
      </c>
      <c r="D223" s="744"/>
      <c r="E223" s="747"/>
      <c r="F223" s="523">
        <v>1</v>
      </c>
      <c r="G223" s="9">
        <v>4768</v>
      </c>
      <c r="H223" s="9">
        <f t="shared" si="15"/>
        <v>4768</v>
      </c>
      <c r="I223" s="381" t="s">
        <v>411</v>
      </c>
      <c r="J223" s="20" t="s">
        <v>41</v>
      </c>
      <c r="K223" s="34">
        <v>0.50446759259259266</v>
      </c>
    </row>
    <row r="224" spans="1:12" s="11" customFormat="1" ht="21" customHeight="1" x14ac:dyDescent="0.35">
      <c r="A224" s="20"/>
      <c r="B224" s="158"/>
      <c r="C224" s="636" t="s">
        <v>1187</v>
      </c>
      <c r="D224" s="744"/>
      <c r="E224" s="747"/>
      <c r="F224" s="523">
        <v>1</v>
      </c>
      <c r="G224" s="9">
        <v>7169</v>
      </c>
      <c r="H224" s="9">
        <f>G224*F224</f>
        <v>7169</v>
      </c>
      <c r="I224" s="381" t="s">
        <v>411</v>
      </c>
      <c r="J224" s="20" t="s">
        <v>41</v>
      </c>
      <c r="K224" s="34">
        <v>0.50446759259259266</v>
      </c>
    </row>
    <row r="225" spans="1:12" s="53" customFormat="1" ht="18.649999999999999" customHeight="1" x14ac:dyDescent="0.35">
      <c r="A225" s="43"/>
      <c r="B225" s="163"/>
      <c r="C225" s="636" t="s">
        <v>1195</v>
      </c>
      <c r="D225" s="744"/>
      <c r="E225" s="747"/>
      <c r="F225" s="523">
        <v>1</v>
      </c>
      <c r="G225" s="52">
        <v>7169</v>
      </c>
      <c r="H225" s="52">
        <f>F225*G225</f>
        <v>7169</v>
      </c>
      <c r="I225" s="381" t="s">
        <v>411</v>
      </c>
      <c r="J225" s="20" t="s">
        <v>41</v>
      </c>
      <c r="K225" s="34">
        <v>0.50446759259259266</v>
      </c>
      <c r="L225" s="43"/>
    </row>
    <row r="226" spans="1:12" s="11" customFormat="1" ht="21" customHeight="1" x14ac:dyDescent="0.35">
      <c r="A226" s="20"/>
      <c r="B226" s="158"/>
      <c r="C226" s="636" t="s">
        <v>1194</v>
      </c>
      <c r="D226" s="744"/>
      <c r="E226" s="747"/>
      <c r="F226" s="523">
        <v>1</v>
      </c>
      <c r="G226" s="9">
        <v>6955</v>
      </c>
      <c r="H226" s="9">
        <f t="shared" si="15"/>
        <v>6955</v>
      </c>
      <c r="I226" s="381" t="s">
        <v>411</v>
      </c>
      <c r="J226" s="20" t="s">
        <v>41</v>
      </c>
      <c r="K226" s="34">
        <v>0.50446759259259266</v>
      </c>
    </row>
    <row r="227" spans="1:12" s="53" customFormat="1" ht="18.649999999999999" customHeight="1" x14ac:dyDescent="0.35">
      <c r="A227" s="43"/>
      <c r="B227" s="163"/>
      <c r="C227" s="636" t="s">
        <v>528</v>
      </c>
      <c r="D227" s="744"/>
      <c r="E227" s="747"/>
      <c r="F227" s="523">
        <v>1</v>
      </c>
      <c r="G227" s="52">
        <v>6955</v>
      </c>
      <c r="H227" s="52">
        <f>F227*G227</f>
        <v>6955</v>
      </c>
      <c r="I227" s="381" t="s">
        <v>411</v>
      </c>
      <c r="J227" s="20" t="s">
        <v>41</v>
      </c>
      <c r="K227" s="34">
        <v>0.50446759259259266</v>
      </c>
      <c r="L227" s="43"/>
    </row>
    <row r="228" spans="1:12" s="53" customFormat="1" ht="18.649999999999999" customHeight="1" x14ac:dyDescent="0.35">
      <c r="A228" s="43"/>
      <c r="B228" s="163"/>
      <c r="C228" s="636" t="s">
        <v>1193</v>
      </c>
      <c r="D228" s="744"/>
      <c r="E228" s="747"/>
      <c r="F228" s="523">
        <v>1</v>
      </c>
      <c r="G228" s="52">
        <v>72893</v>
      </c>
      <c r="H228" s="52">
        <f>F228*G228</f>
        <v>72893</v>
      </c>
      <c r="I228" s="381" t="s">
        <v>411</v>
      </c>
      <c r="J228" s="20" t="s">
        <v>41</v>
      </c>
      <c r="K228" s="34">
        <v>0.50446759259259266</v>
      </c>
      <c r="L228" s="43"/>
    </row>
    <row r="229" spans="1:12" s="11" customFormat="1" ht="21" customHeight="1" x14ac:dyDescent="0.35">
      <c r="A229" s="20"/>
      <c r="B229" s="158"/>
      <c r="C229" s="636" t="s">
        <v>1192</v>
      </c>
      <c r="D229" s="745"/>
      <c r="E229" s="748"/>
      <c r="F229" s="523">
        <v>1</v>
      </c>
      <c r="G229" s="9">
        <v>89612</v>
      </c>
      <c r="H229" s="9">
        <f t="shared" si="15"/>
        <v>89612</v>
      </c>
      <c r="I229" s="381" t="s">
        <v>411</v>
      </c>
      <c r="J229" s="20" t="s">
        <v>41</v>
      </c>
      <c r="K229" s="34">
        <v>0.50446759259259266</v>
      </c>
    </row>
    <row r="230" spans="1:12" s="70" customFormat="1" ht="18.649999999999999" customHeight="1" x14ac:dyDescent="0.35">
      <c r="A230" s="208"/>
      <c r="B230" s="216"/>
      <c r="C230" s="209"/>
      <c r="D230" s="210"/>
      <c r="E230" s="211"/>
      <c r="F230" s="212"/>
      <c r="G230" s="213" t="s">
        <v>12</v>
      </c>
      <c r="H230" s="214">
        <f>SUM(H213:H229)</f>
        <v>3469394</v>
      </c>
      <c r="I230" s="394"/>
      <c r="J230" s="208"/>
      <c r="K230" s="208"/>
      <c r="L230" s="208"/>
    </row>
    <row r="231" spans="1:12" ht="21" hidden="1" customHeight="1" x14ac:dyDescent="0.35">
      <c r="A231" s="41">
        <v>14</v>
      </c>
      <c r="B231" s="4" t="s">
        <v>143</v>
      </c>
      <c r="C231" s="66" t="s">
        <v>140</v>
      </c>
      <c r="D231" s="161" t="s">
        <v>144</v>
      </c>
      <c r="E231" s="173" t="s">
        <v>145</v>
      </c>
      <c r="F231" s="3">
        <v>2</v>
      </c>
      <c r="G231" s="40">
        <v>3482.5</v>
      </c>
      <c r="H231" s="40">
        <f>G231*F231</f>
        <v>6965</v>
      </c>
      <c r="I231" s="393" t="s">
        <v>146</v>
      </c>
      <c r="J231" s="171"/>
      <c r="K231" s="172">
        <v>9.0567129629629636E-2</v>
      </c>
    </row>
    <row r="232" spans="1:12" ht="14.5" hidden="1" x14ac:dyDescent="0.35">
      <c r="C232" s="77"/>
      <c r="G232" s="78" t="s">
        <v>12</v>
      </c>
      <c r="H232" s="29">
        <f>SUM(H231:H231)</f>
        <v>6965</v>
      </c>
    </row>
    <row r="233" spans="1:12" s="70" customFormat="1" ht="18.649999999999999" customHeight="1" x14ac:dyDescent="0.35">
      <c r="A233" s="126">
        <v>12</v>
      </c>
      <c r="B233" s="215" t="s">
        <v>388</v>
      </c>
      <c r="C233" s="204" t="s">
        <v>387</v>
      </c>
      <c r="D233" s="205" t="s">
        <v>390</v>
      </c>
      <c r="E233" s="115">
        <v>0.20932870370370371</v>
      </c>
      <c r="F233" s="206">
        <v>1</v>
      </c>
      <c r="G233" s="207">
        <v>39500</v>
      </c>
      <c r="H233" s="207">
        <f>F233*G233</f>
        <v>39500</v>
      </c>
      <c r="I233" s="392" t="s">
        <v>391</v>
      </c>
      <c r="J233" s="126" t="s">
        <v>163</v>
      </c>
      <c r="K233" s="205">
        <v>8.5717592592592595E-2</v>
      </c>
      <c r="L233" s="126"/>
    </row>
    <row r="234" spans="1:12" s="70" customFormat="1" ht="18.649999999999999" customHeight="1" x14ac:dyDescent="0.35">
      <c r="A234" s="208"/>
      <c r="B234" s="216"/>
      <c r="C234" s="209"/>
      <c r="D234" s="210"/>
      <c r="E234" s="211"/>
      <c r="F234" s="212"/>
      <c r="G234" s="213" t="s">
        <v>12</v>
      </c>
      <c r="H234" s="214">
        <f>SUM(H233:H233)</f>
        <v>39500</v>
      </c>
      <c r="I234" s="394"/>
      <c r="J234" s="208"/>
      <c r="K234" s="208"/>
      <c r="L234" s="208"/>
    </row>
    <row r="235" spans="1:12" s="70" customFormat="1" ht="18.649999999999999" customHeight="1" x14ac:dyDescent="0.35">
      <c r="A235" s="126">
        <v>15</v>
      </c>
      <c r="B235" s="215" t="s">
        <v>397</v>
      </c>
      <c r="C235" s="204" t="s">
        <v>400</v>
      </c>
      <c r="D235" s="205" t="s">
        <v>398</v>
      </c>
      <c r="E235" s="115">
        <v>0.33432870370370371</v>
      </c>
      <c r="F235" s="206">
        <v>1</v>
      </c>
      <c r="G235" s="207">
        <v>440000</v>
      </c>
      <c r="H235" s="207">
        <f>F235*G235</f>
        <v>440000</v>
      </c>
      <c r="I235" s="392" t="s">
        <v>28</v>
      </c>
      <c r="J235" s="126" t="s">
        <v>41</v>
      </c>
      <c r="K235" s="205"/>
      <c r="L235" s="126"/>
    </row>
    <row r="236" spans="1:12" s="70" customFormat="1" ht="18.649999999999999" customHeight="1" x14ac:dyDescent="0.35">
      <c r="A236" s="208"/>
      <c r="B236" s="216"/>
      <c r="C236" s="209"/>
      <c r="D236" s="210"/>
      <c r="E236" s="211"/>
      <c r="F236" s="212"/>
      <c r="G236" s="213" t="s">
        <v>12</v>
      </c>
      <c r="H236" s="214">
        <f>SUM(H235)</f>
        <v>440000</v>
      </c>
      <c r="I236" s="394"/>
      <c r="J236" s="208"/>
      <c r="K236" s="208"/>
      <c r="L236" s="208"/>
    </row>
    <row r="237" spans="1:12" s="70" customFormat="1" ht="18.649999999999999" customHeight="1" x14ac:dyDescent="0.35">
      <c r="A237" s="126">
        <v>18</v>
      </c>
      <c r="B237" s="215" t="s">
        <v>408</v>
      </c>
      <c r="C237" s="204" t="s">
        <v>409</v>
      </c>
      <c r="D237" s="205" t="s">
        <v>410</v>
      </c>
      <c r="E237" s="115">
        <v>0.54266203703703708</v>
      </c>
      <c r="F237" s="206">
        <v>2</v>
      </c>
      <c r="G237" s="207">
        <v>7800</v>
      </c>
      <c r="H237" s="207">
        <f t="shared" ref="H237:H242" si="16">F237*G237</f>
        <v>15600</v>
      </c>
      <c r="I237" s="392" t="s">
        <v>411</v>
      </c>
      <c r="J237" s="126" t="s">
        <v>43</v>
      </c>
      <c r="K237" s="205">
        <v>0.21210648148148148</v>
      </c>
      <c r="L237" s="126"/>
    </row>
    <row r="238" spans="1:12" s="53" customFormat="1" ht="18.649999999999999" customHeight="1" x14ac:dyDescent="0.35">
      <c r="A238" s="43"/>
      <c r="B238" s="163"/>
      <c r="C238" s="522" t="s">
        <v>393</v>
      </c>
      <c r="D238" s="101" t="s">
        <v>580</v>
      </c>
      <c r="E238" s="55">
        <v>0.12668981481481481</v>
      </c>
      <c r="F238" s="523">
        <f>634-500</f>
        <v>134</v>
      </c>
      <c r="G238" s="52">
        <v>1050</v>
      </c>
      <c r="H238" s="52">
        <f t="shared" si="16"/>
        <v>140700</v>
      </c>
      <c r="I238" s="524" t="s">
        <v>797</v>
      </c>
      <c r="J238" s="43" t="s">
        <v>43</v>
      </c>
      <c r="K238" s="101">
        <v>0.21210648148148148</v>
      </c>
      <c r="L238" s="43"/>
    </row>
    <row r="239" spans="1:12" s="70" customFormat="1" ht="18.649999999999999" customHeight="1" x14ac:dyDescent="0.35">
      <c r="A239" s="126"/>
      <c r="B239" s="215"/>
      <c r="C239" s="204" t="s">
        <v>581</v>
      </c>
      <c r="D239" s="732" t="s">
        <v>585</v>
      </c>
      <c r="E239" s="732">
        <v>0.12668981481481481</v>
      </c>
      <c r="F239" s="206">
        <v>2</v>
      </c>
      <c r="G239" s="207">
        <v>19895</v>
      </c>
      <c r="H239" s="207">
        <f t="shared" si="16"/>
        <v>39790</v>
      </c>
      <c r="I239" s="392" t="s">
        <v>598</v>
      </c>
      <c r="J239" s="126" t="s">
        <v>163</v>
      </c>
      <c r="K239" s="205">
        <v>0.21210648148148148</v>
      </c>
      <c r="L239" s="126"/>
    </row>
    <row r="240" spans="1:12" s="70" customFormat="1" ht="18.649999999999999" customHeight="1" x14ac:dyDescent="0.35">
      <c r="A240" s="126"/>
      <c r="B240" s="215"/>
      <c r="C240" s="204" t="s">
        <v>583</v>
      </c>
      <c r="D240" s="733"/>
      <c r="E240" s="733"/>
      <c r="F240" s="206">
        <v>4</v>
      </c>
      <c r="G240" s="207">
        <v>32750</v>
      </c>
      <c r="H240" s="207">
        <f t="shared" si="16"/>
        <v>131000</v>
      </c>
      <c r="I240" s="392" t="s">
        <v>598</v>
      </c>
      <c r="J240" s="126" t="s">
        <v>163</v>
      </c>
      <c r="K240" s="205">
        <v>0.21210648148148148</v>
      </c>
      <c r="L240" s="126"/>
    </row>
    <row r="241" spans="1:12" s="70" customFormat="1" ht="18.649999999999999" customHeight="1" x14ac:dyDescent="0.35">
      <c r="A241" s="126"/>
      <c r="B241" s="215"/>
      <c r="C241" s="204" t="s">
        <v>584</v>
      </c>
      <c r="D241" s="733"/>
      <c r="E241" s="733"/>
      <c r="F241" s="206">
        <v>2</v>
      </c>
      <c r="G241" s="207">
        <v>30450</v>
      </c>
      <c r="H241" s="207">
        <f t="shared" si="16"/>
        <v>60900</v>
      </c>
      <c r="I241" s="392" t="s">
        <v>598</v>
      </c>
      <c r="J241" s="126" t="s">
        <v>163</v>
      </c>
      <c r="K241" s="205">
        <v>0.21210648148148148</v>
      </c>
      <c r="L241" s="126"/>
    </row>
    <row r="242" spans="1:12" s="70" customFormat="1" ht="18.649999999999999" customHeight="1" x14ac:dyDescent="0.35">
      <c r="A242" s="126"/>
      <c r="B242" s="215"/>
      <c r="C242" s="204" t="s">
        <v>582</v>
      </c>
      <c r="D242" s="734"/>
      <c r="E242" s="734"/>
      <c r="F242" s="206">
        <v>3</v>
      </c>
      <c r="G242" s="207">
        <v>5136</v>
      </c>
      <c r="H242" s="207">
        <f t="shared" si="16"/>
        <v>15408</v>
      </c>
      <c r="I242" s="392" t="s">
        <v>598</v>
      </c>
      <c r="J242" s="126" t="s">
        <v>163</v>
      </c>
      <c r="K242" s="205">
        <v>0.21210648148148148</v>
      </c>
      <c r="L242" s="126"/>
    </row>
    <row r="243" spans="1:12" s="301" customFormat="1" ht="19.25" customHeight="1" x14ac:dyDescent="0.35">
      <c r="A243" s="397"/>
      <c r="B243" s="483"/>
      <c r="C243" s="535" t="s">
        <v>616</v>
      </c>
      <c r="D243" s="484" t="s">
        <v>615</v>
      </c>
      <c r="E243" s="354">
        <v>0.37668981481481478</v>
      </c>
      <c r="F243" s="485">
        <v>15</v>
      </c>
      <c r="G243" s="486">
        <v>1750</v>
      </c>
      <c r="H243" s="486">
        <f t="shared" ref="H243:H251" si="17">F243*G243</f>
        <v>26250</v>
      </c>
      <c r="I243" s="397" t="s">
        <v>142</v>
      </c>
      <c r="J243" s="397" t="s">
        <v>617</v>
      </c>
      <c r="K243" s="484">
        <v>0.9607175925925926</v>
      </c>
      <c r="L243" s="397"/>
    </row>
    <row r="244" spans="1:12" s="70" customFormat="1" ht="18.649999999999999" customHeight="1" x14ac:dyDescent="0.35">
      <c r="A244" s="126"/>
      <c r="B244" s="215"/>
      <c r="C244" s="204" t="s">
        <v>903</v>
      </c>
      <c r="D244" s="732" t="s">
        <v>895</v>
      </c>
      <c r="E244" s="732">
        <v>0.7107175925925926</v>
      </c>
      <c r="F244" s="206">
        <v>5</v>
      </c>
      <c r="G244" s="207">
        <v>764.4</v>
      </c>
      <c r="H244" s="207">
        <f t="shared" si="17"/>
        <v>3822</v>
      </c>
      <c r="I244" s="392" t="s">
        <v>904</v>
      </c>
      <c r="J244" s="126" t="s">
        <v>146</v>
      </c>
      <c r="K244" s="205"/>
      <c r="L244" s="126"/>
    </row>
    <row r="245" spans="1:12" s="70" customFormat="1" ht="18.649999999999999" customHeight="1" x14ac:dyDescent="0.35">
      <c r="A245" s="126"/>
      <c r="B245" s="215"/>
      <c r="C245" s="204" t="s">
        <v>902</v>
      </c>
      <c r="D245" s="733"/>
      <c r="E245" s="733"/>
      <c r="F245" s="206">
        <v>10</v>
      </c>
      <c r="G245" s="207">
        <v>291.89999999999998</v>
      </c>
      <c r="H245" s="207">
        <f t="shared" si="17"/>
        <v>2919</v>
      </c>
      <c r="I245" s="392" t="s">
        <v>904</v>
      </c>
      <c r="J245" s="126" t="s">
        <v>146</v>
      </c>
      <c r="K245" s="205"/>
      <c r="L245" s="126"/>
    </row>
    <row r="246" spans="1:12" s="70" customFormat="1" ht="18.649999999999999" customHeight="1" x14ac:dyDescent="0.35">
      <c r="A246" s="126"/>
      <c r="B246" s="215"/>
      <c r="C246" s="204" t="s">
        <v>901</v>
      </c>
      <c r="D246" s="733"/>
      <c r="E246" s="733"/>
      <c r="F246" s="206">
        <v>10</v>
      </c>
      <c r="G246" s="207">
        <v>151.19999999999999</v>
      </c>
      <c r="H246" s="207">
        <f t="shared" si="17"/>
        <v>1512</v>
      </c>
      <c r="I246" s="392" t="s">
        <v>904</v>
      </c>
      <c r="J246" s="126" t="s">
        <v>146</v>
      </c>
      <c r="K246" s="205"/>
      <c r="L246" s="126"/>
    </row>
    <row r="247" spans="1:12" s="70" customFormat="1" ht="18.649999999999999" customHeight="1" x14ac:dyDescent="0.35">
      <c r="A247" s="126"/>
      <c r="B247" s="215"/>
      <c r="C247" s="204" t="s">
        <v>900</v>
      </c>
      <c r="D247" s="733"/>
      <c r="E247" s="733"/>
      <c r="F247" s="206">
        <v>5</v>
      </c>
      <c r="G247" s="207">
        <v>169.4</v>
      </c>
      <c r="H247" s="207">
        <f t="shared" si="17"/>
        <v>847</v>
      </c>
      <c r="I247" s="392" t="s">
        <v>904</v>
      </c>
      <c r="J247" s="126" t="s">
        <v>146</v>
      </c>
      <c r="K247" s="205"/>
      <c r="L247" s="126"/>
    </row>
    <row r="248" spans="1:12" s="70" customFormat="1" ht="18.649999999999999" customHeight="1" x14ac:dyDescent="0.35">
      <c r="A248" s="126"/>
      <c r="B248" s="215"/>
      <c r="C248" s="204" t="s">
        <v>899</v>
      </c>
      <c r="D248" s="733"/>
      <c r="E248" s="733"/>
      <c r="F248" s="206">
        <v>5</v>
      </c>
      <c r="G248" s="207">
        <v>115.5</v>
      </c>
      <c r="H248" s="207">
        <f t="shared" si="17"/>
        <v>577.5</v>
      </c>
      <c r="I248" s="392" t="s">
        <v>904</v>
      </c>
      <c r="J248" s="126" t="s">
        <v>146</v>
      </c>
      <c r="K248" s="205"/>
      <c r="L248" s="126"/>
    </row>
    <row r="249" spans="1:12" s="70" customFormat="1" ht="18.649999999999999" customHeight="1" x14ac:dyDescent="0.35">
      <c r="A249" s="126"/>
      <c r="B249" s="215"/>
      <c r="C249" s="204" t="s">
        <v>898</v>
      </c>
      <c r="D249" s="733"/>
      <c r="E249" s="733"/>
      <c r="F249" s="206">
        <v>2</v>
      </c>
      <c r="G249" s="207">
        <v>746.2</v>
      </c>
      <c r="H249" s="207">
        <f t="shared" si="17"/>
        <v>1492.4</v>
      </c>
      <c r="I249" s="392" t="s">
        <v>904</v>
      </c>
      <c r="J249" s="126" t="s">
        <v>146</v>
      </c>
      <c r="K249" s="205"/>
      <c r="L249" s="126"/>
    </row>
    <row r="250" spans="1:12" s="70" customFormat="1" ht="18.649999999999999" customHeight="1" x14ac:dyDescent="0.35">
      <c r="A250" s="126"/>
      <c r="B250" s="215"/>
      <c r="C250" s="204" t="s">
        <v>897</v>
      </c>
      <c r="D250" s="733"/>
      <c r="E250" s="733"/>
      <c r="F250" s="206">
        <v>10</v>
      </c>
      <c r="G250" s="207">
        <v>389.2</v>
      </c>
      <c r="H250" s="207">
        <f t="shared" si="17"/>
        <v>3892</v>
      </c>
      <c r="I250" s="392" t="s">
        <v>904</v>
      </c>
      <c r="J250" s="126" t="s">
        <v>146</v>
      </c>
      <c r="K250" s="205"/>
      <c r="L250" s="126"/>
    </row>
    <row r="251" spans="1:12" s="70" customFormat="1" ht="18.649999999999999" customHeight="1" x14ac:dyDescent="0.35">
      <c r="A251" s="126"/>
      <c r="B251" s="215"/>
      <c r="C251" s="204" t="s">
        <v>896</v>
      </c>
      <c r="D251" s="734"/>
      <c r="E251" s="734"/>
      <c r="F251" s="206">
        <v>5</v>
      </c>
      <c r="G251" s="207">
        <v>346.5</v>
      </c>
      <c r="H251" s="207">
        <f t="shared" si="17"/>
        <v>1732.5</v>
      </c>
      <c r="I251" s="392" t="s">
        <v>904</v>
      </c>
      <c r="J251" s="126" t="s">
        <v>146</v>
      </c>
      <c r="K251" s="205"/>
      <c r="L251" s="126"/>
    </row>
    <row r="252" spans="1:12" s="70" customFormat="1" ht="18.649999999999999" customHeight="1" x14ac:dyDescent="0.35">
      <c r="A252" s="208"/>
      <c r="B252" s="216"/>
      <c r="C252" s="209"/>
      <c r="D252" s="210"/>
      <c r="E252" s="211"/>
      <c r="F252" s="212"/>
      <c r="G252" s="213" t="s">
        <v>12</v>
      </c>
      <c r="H252" s="214">
        <f>SUM(H237:H251)</f>
        <v>446442.4</v>
      </c>
      <c r="I252" s="394"/>
      <c r="J252" s="208"/>
      <c r="K252" s="208"/>
      <c r="L252" s="208"/>
    </row>
    <row r="253" spans="1:12" s="109" customFormat="1" ht="18.649999999999999" customHeight="1" x14ac:dyDescent="0.35">
      <c r="A253" s="323">
        <v>20</v>
      </c>
      <c r="B253" s="650" t="s">
        <v>494</v>
      </c>
      <c r="C253" s="651" t="s">
        <v>492</v>
      </c>
      <c r="D253" s="652" t="s">
        <v>495</v>
      </c>
      <c r="E253" s="123" t="s">
        <v>356</v>
      </c>
      <c r="F253" s="653">
        <v>8</v>
      </c>
      <c r="G253" s="654">
        <v>85020</v>
      </c>
      <c r="H253" s="654">
        <f t="shared" ref="H253:H263" si="18">F253*G253</f>
        <v>680160</v>
      </c>
      <c r="I253" s="655" t="s">
        <v>496</v>
      </c>
      <c r="J253" s="323" t="s">
        <v>30</v>
      </c>
      <c r="K253" s="652">
        <v>0.66905092592592597</v>
      </c>
      <c r="L253" s="323"/>
    </row>
    <row r="254" spans="1:12" s="70" customFormat="1" ht="18.649999999999999" customHeight="1" x14ac:dyDescent="0.35">
      <c r="A254" s="114"/>
      <c r="B254" s="125"/>
      <c r="C254" s="51" t="s">
        <v>1198</v>
      </c>
      <c r="D254" s="732" t="s">
        <v>654</v>
      </c>
      <c r="E254" s="732">
        <v>0.66835648148148152</v>
      </c>
      <c r="F254" s="202">
        <v>1</v>
      </c>
      <c r="G254" s="155">
        <v>378391.65</v>
      </c>
      <c r="H254" s="207">
        <f t="shared" si="18"/>
        <v>378391.65</v>
      </c>
      <c r="I254" s="303" t="s">
        <v>655</v>
      </c>
      <c r="J254" s="114" t="s">
        <v>67</v>
      </c>
      <c r="K254" s="115" t="s">
        <v>331</v>
      </c>
      <c r="L254" s="208"/>
    </row>
    <row r="255" spans="1:12" s="70" customFormat="1" ht="18.649999999999999" customHeight="1" x14ac:dyDescent="0.35">
      <c r="A255" s="114"/>
      <c r="B255" s="125"/>
      <c r="C255" s="51" t="s">
        <v>652</v>
      </c>
      <c r="D255" s="733"/>
      <c r="E255" s="733"/>
      <c r="F255" s="202">
        <v>6</v>
      </c>
      <c r="G255" s="155">
        <v>9711.85</v>
      </c>
      <c r="H255" s="207">
        <f t="shared" si="18"/>
        <v>58271.100000000006</v>
      </c>
      <c r="I255" s="303" t="s">
        <v>655</v>
      </c>
      <c r="J255" s="114" t="s">
        <v>67</v>
      </c>
      <c r="K255" s="115" t="s">
        <v>331</v>
      </c>
      <c r="L255" s="208"/>
    </row>
    <row r="256" spans="1:12" s="70" customFormat="1" ht="18.649999999999999" customHeight="1" x14ac:dyDescent="0.35">
      <c r="A256" s="114"/>
      <c r="B256" s="125"/>
      <c r="C256" s="51" t="s">
        <v>651</v>
      </c>
      <c r="D256" s="733"/>
      <c r="E256" s="733"/>
      <c r="F256" s="202">
        <v>2</v>
      </c>
      <c r="G256" s="155">
        <v>338059.4</v>
      </c>
      <c r="H256" s="207">
        <f t="shared" si="18"/>
        <v>676118.8</v>
      </c>
      <c r="I256" s="303" t="s">
        <v>655</v>
      </c>
      <c r="J256" s="114" t="s">
        <v>67</v>
      </c>
      <c r="K256" s="115" t="s">
        <v>331</v>
      </c>
      <c r="L256" s="208"/>
    </row>
    <row r="257" spans="1:12" s="70" customFormat="1" ht="18.649999999999999" customHeight="1" x14ac:dyDescent="0.35">
      <c r="A257" s="114"/>
      <c r="B257" s="125"/>
      <c r="C257" s="51" t="s">
        <v>650</v>
      </c>
      <c r="D257" s="734"/>
      <c r="E257" s="734"/>
      <c r="F257" s="202">
        <v>8</v>
      </c>
      <c r="G257" s="155">
        <v>20489.599999999999</v>
      </c>
      <c r="H257" s="207">
        <f t="shared" si="18"/>
        <v>163916.79999999999</v>
      </c>
      <c r="I257" s="303" t="s">
        <v>655</v>
      </c>
      <c r="J257" s="114" t="s">
        <v>67</v>
      </c>
      <c r="K257" s="115" t="s">
        <v>331</v>
      </c>
      <c r="L257" s="208"/>
    </row>
    <row r="258" spans="1:12" s="70" customFormat="1" ht="18.649999999999999" customHeight="1" x14ac:dyDescent="0.35">
      <c r="A258" s="126"/>
      <c r="B258" s="215"/>
      <c r="C258" s="51" t="s">
        <v>688</v>
      </c>
      <c r="D258" s="205" t="s">
        <v>709</v>
      </c>
      <c r="E258" s="115">
        <v>0.87668981481481489</v>
      </c>
      <c r="F258" s="206">
        <v>1</v>
      </c>
      <c r="G258" s="207">
        <v>300000</v>
      </c>
      <c r="H258" s="207">
        <f t="shared" si="18"/>
        <v>300000</v>
      </c>
      <c r="I258" s="303" t="s">
        <v>655</v>
      </c>
      <c r="J258" s="114" t="s">
        <v>67</v>
      </c>
      <c r="K258" s="205">
        <v>0.67043981481481485</v>
      </c>
      <c r="L258" s="126"/>
    </row>
    <row r="259" spans="1:12" s="70" customFormat="1" ht="39" customHeight="1" x14ac:dyDescent="0.35">
      <c r="A259" s="126"/>
      <c r="B259" s="215"/>
      <c r="C259" s="51" t="s">
        <v>1003</v>
      </c>
      <c r="D259" s="205" t="s">
        <v>1004</v>
      </c>
      <c r="E259" s="115">
        <v>0.79405092592592597</v>
      </c>
      <c r="F259" s="527">
        <v>50</v>
      </c>
      <c r="G259" s="207">
        <v>6500</v>
      </c>
      <c r="H259" s="207">
        <f t="shared" si="18"/>
        <v>325000</v>
      </c>
      <c r="I259" s="303" t="s">
        <v>655</v>
      </c>
      <c r="J259" s="286" t="s">
        <v>1006</v>
      </c>
      <c r="K259" s="205"/>
      <c r="L259" s="126"/>
    </row>
    <row r="260" spans="1:12" s="70" customFormat="1" ht="18.649999999999999" customHeight="1" x14ac:dyDescent="0.35">
      <c r="A260" s="114"/>
      <c r="B260" s="125"/>
      <c r="C260" s="51" t="s">
        <v>952</v>
      </c>
      <c r="D260" s="732" t="s">
        <v>999</v>
      </c>
      <c r="E260" s="732" t="s">
        <v>1000</v>
      </c>
      <c r="F260" s="202">
        <v>6</v>
      </c>
      <c r="G260" s="155">
        <v>20705.28</v>
      </c>
      <c r="H260" s="207">
        <f t="shared" si="18"/>
        <v>124231.67999999999</v>
      </c>
      <c r="I260" s="392" t="s">
        <v>496</v>
      </c>
      <c r="J260" s="20" t="s">
        <v>41</v>
      </c>
      <c r="K260" s="160">
        <v>0.75446759259259266</v>
      </c>
      <c r="L260" s="208"/>
    </row>
    <row r="261" spans="1:12" s="70" customFormat="1" ht="18.649999999999999" customHeight="1" x14ac:dyDescent="0.35">
      <c r="A261" s="114"/>
      <c r="B261" s="125"/>
      <c r="C261" s="51" t="s">
        <v>954</v>
      </c>
      <c r="D261" s="733"/>
      <c r="E261" s="733"/>
      <c r="F261" s="202">
        <v>6</v>
      </c>
      <c r="G261" s="155">
        <v>6360.96</v>
      </c>
      <c r="H261" s="207">
        <f t="shared" si="18"/>
        <v>38165.760000000002</v>
      </c>
      <c r="I261" s="392" t="s">
        <v>496</v>
      </c>
      <c r="J261" s="20" t="s">
        <v>41</v>
      </c>
      <c r="K261" s="160">
        <v>0.75446759259259266</v>
      </c>
      <c r="L261" s="208"/>
    </row>
    <row r="262" spans="1:12" s="70" customFormat="1" ht="18.649999999999999" customHeight="1" x14ac:dyDescent="0.35">
      <c r="A262" s="114"/>
      <c r="B262" s="125"/>
      <c r="C262" s="51" t="s">
        <v>955</v>
      </c>
      <c r="D262" s="733"/>
      <c r="E262" s="733"/>
      <c r="F262" s="202">
        <v>2</v>
      </c>
      <c r="G262" s="155">
        <v>4114.5600000000004</v>
      </c>
      <c r="H262" s="207">
        <f t="shared" si="18"/>
        <v>8229.1200000000008</v>
      </c>
      <c r="I262" s="392" t="s">
        <v>496</v>
      </c>
      <c r="J262" s="20" t="s">
        <v>41</v>
      </c>
      <c r="K262" s="160">
        <v>0.75446759259259266</v>
      </c>
      <c r="L262" s="208"/>
    </row>
    <row r="263" spans="1:12" s="70" customFormat="1" ht="17.399999999999999" customHeight="1" x14ac:dyDescent="0.35">
      <c r="A263" s="126"/>
      <c r="B263" s="215"/>
      <c r="C263" s="525" t="s">
        <v>1003</v>
      </c>
      <c r="D263" s="205" t="s">
        <v>1008</v>
      </c>
      <c r="E263" s="115" t="s">
        <v>290</v>
      </c>
      <c r="F263" s="526">
        <v>20</v>
      </c>
      <c r="G263" s="207">
        <v>6380</v>
      </c>
      <c r="H263" s="207">
        <f t="shared" si="18"/>
        <v>127600</v>
      </c>
      <c r="I263" s="303" t="s">
        <v>63</v>
      </c>
      <c r="J263" s="20" t="s">
        <v>1007</v>
      </c>
      <c r="K263" s="205">
        <v>0.96210648148148159</v>
      </c>
      <c r="L263" s="126"/>
    </row>
    <row r="264" spans="1:12" s="70" customFormat="1" ht="18.649999999999999" customHeight="1" x14ac:dyDescent="0.35">
      <c r="A264" s="126"/>
      <c r="B264" s="215"/>
      <c r="C264" s="525" t="s">
        <v>1119</v>
      </c>
      <c r="D264" s="732" t="s">
        <v>1147</v>
      </c>
      <c r="E264" s="732" t="s">
        <v>181</v>
      </c>
      <c r="F264" s="568">
        <v>2</v>
      </c>
      <c r="G264" s="207">
        <v>2343.65</v>
      </c>
      <c r="H264" s="207">
        <f t="shared" ref="H264:H274" si="19">F264*G264</f>
        <v>4687.3</v>
      </c>
      <c r="I264" s="392" t="s">
        <v>496</v>
      </c>
      <c r="J264" s="126" t="s">
        <v>67</v>
      </c>
      <c r="K264" s="205">
        <v>0.29682870370370368</v>
      </c>
      <c r="L264" s="126"/>
    </row>
    <row r="265" spans="1:12" s="70" customFormat="1" ht="18.649999999999999" customHeight="1" x14ac:dyDescent="0.35">
      <c r="A265" s="114"/>
      <c r="B265" s="125"/>
      <c r="C265" s="525" t="s">
        <v>1121</v>
      </c>
      <c r="D265" s="733"/>
      <c r="E265" s="733"/>
      <c r="F265" s="568">
        <v>2</v>
      </c>
      <c r="G265" s="155">
        <v>59448.06</v>
      </c>
      <c r="H265" s="207">
        <f t="shared" si="19"/>
        <v>118896.12</v>
      </c>
      <c r="I265" s="392" t="s">
        <v>496</v>
      </c>
      <c r="J265" s="126" t="s">
        <v>67</v>
      </c>
      <c r="K265" s="205">
        <v>0.29682870370370368</v>
      </c>
      <c r="L265" s="208"/>
    </row>
    <row r="266" spans="1:12" s="70" customFormat="1" ht="18.649999999999999" customHeight="1" x14ac:dyDescent="0.35">
      <c r="A266" s="114"/>
      <c r="B266" s="125"/>
      <c r="C266" s="525" t="s">
        <v>1123</v>
      </c>
      <c r="D266" s="733"/>
      <c r="E266" s="733"/>
      <c r="F266" s="568">
        <v>7</v>
      </c>
      <c r="G266" s="155">
        <v>14839.78</v>
      </c>
      <c r="H266" s="207">
        <f t="shared" si="19"/>
        <v>103878.46</v>
      </c>
      <c r="I266" s="392" t="s">
        <v>496</v>
      </c>
      <c r="J266" s="126" t="s">
        <v>67</v>
      </c>
      <c r="K266" s="205">
        <v>0.29682870370370368</v>
      </c>
      <c r="L266" s="208"/>
    </row>
    <row r="267" spans="1:12" s="70" customFormat="1" ht="18.649999999999999" customHeight="1" x14ac:dyDescent="0.35">
      <c r="A267" s="114"/>
      <c r="B267" s="125"/>
      <c r="C267" s="525" t="s">
        <v>1125</v>
      </c>
      <c r="D267" s="733"/>
      <c r="E267" s="733"/>
      <c r="F267" s="568">
        <v>4</v>
      </c>
      <c r="G267" s="155">
        <v>11078.9</v>
      </c>
      <c r="H267" s="207">
        <f>F267*G267</f>
        <v>44315.6</v>
      </c>
      <c r="I267" s="392" t="s">
        <v>496</v>
      </c>
      <c r="J267" s="126" t="s">
        <v>67</v>
      </c>
      <c r="K267" s="205">
        <v>0.29682870370370368</v>
      </c>
      <c r="L267" s="208"/>
    </row>
    <row r="268" spans="1:12" s="70" customFormat="1" ht="18.649999999999999" customHeight="1" x14ac:dyDescent="0.35">
      <c r="A268" s="114"/>
      <c r="B268" s="125"/>
      <c r="C268" s="525" t="s">
        <v>1127</v>
      </c>
      <c r="D268" s="733"/>
      <c r="E268" s="733"/>
      <c r="F268" s="568">
        <v>5</v>
      </c>
      <c r="G268" s="155">
        <v>36733.949999999997</v>
      </c>
      <c r="H268" s="207">
        <f>F268*G268</f>
        <v>183669.75</v>
      </c>
      <c r="I268" s="392" t="s">
        <v>496</v>
      </c>
      <c r="J268" s="126" t="s">
        <v>67</v>
      </c>
      <c r="K268" s="205">
        <v>0.29682870370370368</v>
      </c>
      <c r="L268" s="208"/>
    </row>
    <row r="269" spans="1:12" s="70" customFormat="1" ht="18.649999999999999" customHeight="1" x14ac:dyDescent="0.35">
      <c r="A269" s="126"/>
      <c r="B269" s="215"/>
      <c r="C269" s="525" t="s">
        <v>1129</v>
      </c>
      <c r="D269" s="733"/>
      <c r="E269" s="733"/>
      <c r="F269" s="568">
        <v>5</v>
      </c>
      <c r="G269" s="207">
        <v>15979</v>
      </c>
      <c r="H269" s="207">
        <f>F269*G269</f>
        <v>79895</v>
      </c>
      <c r="I269" s="392" t="s">
        <v>496</v>
      </c>
      <c r="J269" s="126" t="s">
        <v>67</v>
      </c>
      <c r="K269" s="205">
        <v>0.29682870370370368</v>
      </c>
      <c r="L269" s="126"/>
    </row>
    <row r="270" spans="1:12" s="70" customFormat="1" ht="14.5" x14ac:dyDescent="0.35">
      <c r="A270" s="126"/>
      <c r="B270" s="215"/>
      <c r="C270" s="525" t="s">
        <v>1131</v>
      </c>
      <c r="D270" s="733"/>
      <c r="E270" s="733"/>
      <c r="F270" s="568">
        <v>4</v>
      </c>
      <c r="G270" s="207">
        <v>106023.54</v>
      </c>
      <c r="H270" s="207">
        <f>F270*G270</f>
        <v>424094.16</v>
      </c>
      <c r="I270" s="392" t="s">
        <v>496</v>
      </c>
      <c r="J270" s="126" t="s">
        <v>67</v>
      </c>
      <c r="K270" s="205">
        <v>0.29682870370370368</v>
      </c>
      <c r="L270" s="126"/>
    </row>
    <row r="271" spans="1:12" s="70" customFormat="1" ht="18.649999999999999" customHeight="1" x14ac:dyDescent="0.35">
      <c r="A271" s="114"/>
      <c r="B271" s="125"/>
      <c r="C271" s="525" t="s">
        <v>1133</v>
      </c>
      <c r="D271" s="733"/>
      <c r="E271" s="733"/>
      <c r="F271" s="568">
        <v>4</v>
      </c>
      <c r="G271" s="155">
        <v>20868.650000000001</v>
      </c>
      <c r="H271" s="207">
        <f t="shared" si="19"/>
        <v>83474.600000000006</v>
      </c>
      <c r="I271" s="392" t="s">
        <v>496</v>
      </c>
      <c r="J271" s="126" t="s">
        <v>67</v>
      </c>
      <c r="K271" s="205">
        <v>0.29682870370370368</v>
      </c>
      <c r="L271" s="208"/>
    </row>
    <row r="272" spans="1:12" s="70" customFormat="1" ht="18.649999999999999" customHeight="1" x14ac:dyDescent="0.35">
      <c r="A272" s="114"/>
      <c r="B272" s="125"/>
      <c r="C272" s="525" t="s">
        <v>1135</v>
      </c>
      <c r="D272" s="733"/>
      <c r="E272" s="733"/>
      <c r="F272" s="568">
        <v>8</v>
      </c>
      <c r="G272" s="155">
        <v>10120.84</v>
      </c>
      <c r="H272" s="207">
        <f t="shared" si="19"/>
        <v>80966.720000000001</v>
      </c>
      <c r="I272" s="392" t="s">
        <v>496</v>
      </c>
      <c r="J272" s="126" t="s">
        <v>67</v>
      </c>
      <c r="K272" s="205">
        <v>0.29682870370370368</v>
      </c>
      <c r="L272" s="208"/>
    </row>
    <row r="273" spans="1:12" s="70" customFormat="1" ht="18.649999999999999" customHeight="1" x14ac:dyDescent="0.35">
      <c r="A273" s="126"/>
      <c r="B273" s="215"/>
      <c r="C273" s="525" t="s">
        <v>1137</v>
      </c>
      <c r="D273" s="733"/>
      <c r="E273" s="733"/>
      <c r="F273" s="568">
        <v>3</v>
      </c>
      <c r="G273" s="207">
        <v>2189.56</v>
      </c>
      <c r="H273" s="207">
        <f>F273*G273</f>
        <v>6568.68</v>
      </c>
      <c r="I273" s="392" t="s">
        <v>496</v>
      </c>
      <c r="J273" s="126" t="s">
        <v>67</v>
      </c>
      <c r="K273" s="205">
        <v>0.29682870370370368</v>
      </c>
      <c r="L273" s="126"/>
    </row>
    <row r="274" spans="1:12" s="70" customFormat="1" ht="14.5" x14ac:dyDescent="0.35">
      <c r="A274" s="126"/>
      <c r="B274" s="215"/>
      <c r="C274" s="525" t="s">
        <v>1139</v>
      </c>
      <c r="D274" s="733"/>
      <c r="E274" s="733"/>
      <c r="F274" s="568">
        <v>3</v>
      </c>
      <c r="G274" s="207">
        <v>1041.52</v>
      </c>
      <c r="H274" s="207">
        <f t="shared" si="19"/>
        <v>3124.56</v>
      </c>
      <c r="I274" s="392" t="s">
        <v>496</v>
      </c>
      <c r="J274" s="126" t="s">
        <v>67</v>
      </c>
      <c r="K274" s="205">
        <v>0.29682870370370368</v>
      </c>
      <c r="L274" s="126"/>
    </row>
    <row r="275" spans="1:12" s="70" customFormat="1" ht="18.649999999999999" customHeight="1" x14ac:dyDescent="0.35">
      <c r="A275" s="114"/>
      <c r="B275" s="125"/>
      <c r="C275" s="525" t="s">
        <v>1141</v>
      </c>
      <c r="D275" s="733"/>
      <c r="E275" s="733"/>
      <c r="F275" s="568">
        <v>6</v>
      </c>
      <c r="G275" s="155">
        <v>54.81</v>
      </c>
      <c r="H275" s="207">
        <f>F275*G275</f>
        <v>328.86</v>
      </c>
      <c r="I275" s="392" t="s">
        <v>496</v>
      </c>
      <c r="J275" s="126" t="s">
        <v>67</v>
      </c>
      <c r="K275" s="205">
        <v>0.29682870370370368</v>
      </c>
      <c r="L275" s="208"/>
    </row>
    <row r="276" spans="1:12" s="70" customFormat="1" ht="18.649999999999999" customHeight="1" x14ac:dyDescent="0.35">
      <c r="A276" s="114"/>
      <c r="B276" s="125"/>
      <c r="C276" s="525" t="s">
        <v>1143</v>
      </c>
      <c r="D276" s="733"/>
      <c r="E276" s="733"/>
      <c r="F276" s="568">
        <v>3</v>
      </c>
      <c r="G276" s="155">
        <v>912.92</v>
      </c>
      <c r="H276" s="207">
        <f>F276*G276</f>
        <v>2738.7599999999998</v>
      </c>
      <c r="I276" s="392" t="s">
        <v>496</v>
      </c>
      <c r="J276" s="126" t="s">
        <v>67</v>
      </c>
      <c r="K276" s="205">
        <v>0.29682870370370368</v>
      </c>
      <c r="L276" s="208"/>
    </row>
    <row r="277" spans="1:12" s="70" customFormat="1" ht="18.649999999999999" customHeight="1" x14ac:dyDescent="0.35">
      <c r="A277" s="114"/>
      <c r="B277" s="125"/>
      <c r="C277" s="525" t="s">
        <v>1145</v>
      </c>
      <c r="D277" s="733"/>
      <c r="E277" s="733"/>
      <c r="F277" s="568">
        <v>6</v>
      </c>
      <c r="G277" s="155">
        <v>106.4</v>
      </c>
      <c r="H277" s="207">
        <f>F277*G277</f>
        <v>638.40000000000009</v>
      </c>
      <c r="I277" s="392" t="s">
        <v>496</v>
      </c>
      <c r="J277" s="126" t="s">
        <v>67</v>
      </c>
      <c r="K277" s="205">
        <v>0.29682870370370368</v>
      </c>
      <c r="L277" s="208"/>
    </row>
    <row r="278" spans="1:12" s="53" customFormat="1" ht="19.75" customHeight="1" x14ac:dyDescent="0.35">
      <c r="A278" s="43"/>
      <c r="B278" s="163"/>
      <c r="C278" s="525" t="s">
        <v>1186</v>
      </c>
      <c r="D278" s="101" t="s">
        <v>1196</v>
      </c>
      <c r="E278" s="55">
        <v>0.12807870370370369</v>
      </c>
      <c r="F278" s="634">
        <v>25</v>
      </c>
      <c r="G278" s="52">
        <v>7000</v>
      </c>
      <c r="H278" s="52">
        <f>F278*G278</f>
        <v>175000</v>
      </c>
      <c r="I278" s="635" t="s">
        <v>1199</v>
      </c>
      <c r="J278" s="20" t="s">
        <v>41</v>
      </c>
      <c r="K278" s="101">
        <v>0.50446759259259266</v>
      </c>
      <c r="L278" s="43"/>
    </row>
    <row r="279" spans="1:12" s="70" customFormat="1" ht="18.649999999999999" customHeight="1" x14ac:dyDescent="0.35">
      <c r="A279" s="208"/>
      <c r="B279" s="216"/>
      <c r="C279" s="209"/>
      <c r="D279" s="210"/>
      <c r="E279" s="211"/>
      <c r="F279" s="212"/>
      <c r="G279" s="399" t="s">
        <v>12</v>
      </c>
      <c r="H279" s="400">
        <f>SUM(H253:H278)</f>
        <v>4192361.8800000004</v>
      </c>
      <c r="I279" s="394"/>
      <c r="J279" s="208"/>
      <c r="K279" s="208"/>
      <c r="L279" s="208"/>
    </row>
    <row r="280" spans="1:12" s="301" customFormat="1" ht="18.649999999999999" customHeight="1" x14ac:dyDescent="0.35">
      <c r="A280" s="397">
        <v>21</v>
      </c>
      <c r="B280" s="483" t="s">
        <v>734</v>
      </c>
      <c r="C280" s="535" t="s">
        <v>735</v>
      </c>
      <c r="D280" s="722" t="s">
        <v>736</v>
      </c>
      <c r="E280" s="725" t="s">
        <v>737</v>
      </c>
      <c r="F280" s="485">
        <v>1</v>
      </c>
      <c r="G280" s="486">
        <v>292050</v>
      </c>
      <c r="H280" s="486">
        <f>F280*G280</f>
        <v>292050</v>
      </c>
      <c r="I280" s="487" t="s">
        <v>28</v>
      </c>
      <c r="J280" s="484">
        <v>0.62807870370370367</v>
      </c>
      <c r="K280" s="484">
        <v>0.62807870370370367</v>
      </c>
      <c r="L280" s="397"/>
    </row>
    <row r="281" spans="1:12" s="301" customFormat="1" ht="18.649999999999999" customHeight="1" x14ac:dyDescent="0.35">
      <c r="A281" s="299"/>
      <c r="B281" s="234"/>
      <c r="C281" s="370" t="s">
        <v>663</v>
      </c>
      <c r="D281" s="723"/>
      <c r="E281" s="726"/>
      <c r="F281" s="536">
        <v>3</v>
      </c>
      <c r="G281" s="300">
        <v>78500</v>
      </c>
      <c r="H281" s="486">
        <f>F281*G281</f>
        <v>235500</v>
      </c>
      <c r="I281" s="637" t="s">
        <v>661</v>
      </c>
      <c r="J281" s="484">
        <v>0.62807870370370367</v>
      </c>
      <c r="K281" s="484">
        <v>0.62807870370370367</v>
      </c>
      <c r="L281" s="537"/>
    </row>
    <row r="282" spans="1:12" s="301" customFormat="1" ht="18.649999999999999" customHeight="1" x14ac:dyDescent="0.35">
      <c r="A282" s="299"/>
      <c r="B282" s="234"/>
      <c r="C282" s="370" t="s">
        <v>733</v>
      </c>
      <c r="D282" s="724"/>
      <c r="E282" s="727"/>
      <c r="F282" s="536">
        <v>6</v>
      </c>
      <c r="G282" s="300">
        <v>132200</v>
      </c>
      <c r="H282" s="486">
        <f>F282*G282</f>
        <v>793200</v>
      </c>
      <c r="I282" s="637" t="s">
        <v>661</v>
      </c>
      <c r="J282" s="484">
        <v>0.62807870370370367</v>
      </c>
      <c r="K282" s="484">
        <v>0.62807870370370367</v>
      </c>
      <c r="L282" s="537"/>
    </row>
    <row r="283" spans="1:12" s="70" customFormat="1" ht="18.649999999999999" customHeight="1" x14ac:dyDescent="0.35">
      <c r="A283" s="208"/>
      <c r="B283" s="216"/>
      <c r="C283" s="209"/>
      <c r="D283" s="480"/>
      <c r="E283" s="481"/>
      <c r="F283" s="212"/>
      <c r="G283" s="399" t="s">
        <v>12</v>
      </c>
      <c r="H283" s="400">
        <f>SUM(H280:H282)</f>
        <v>1320750</v>
      </c>
      <c r="I283" s="394"/>
      <c r="J283" s="208"/>
      <c r="K283" s="208"/>
      <c r="L283" s="208"/>
    </row>
    <row r="284" spans="1:12" s="301" customFormat="1" ht="18.649999999999999" customHeight="1" x14ac:dyDescent="0.35">
      <c r="A284" s="397">
        <v>22</v>
      </c>
      <c r="B284" s="483" t="s">
        <v>778</v>
      </c>
      <c r="C284" s="535" t="s">
        <v>551</v>
      </c>
      <c r="D284" s="720" t="s">
        <v>782</v>
      </c>
      <c r="E284" s="718">
        <v>0.41905092592592591</v>
      </c>
      <c r="F284" s="485">
        <v>4</v>
      </c>
      <c r="G284" s="486">
        <v>5700</v>
      </c>
      <c r="H284" s="486">
        <f>F284*G284</f>
        <v>22800</v>
      </c>
      <c r="I284" s="487" t="s">
        <v>550</v>
      </c>
      <c r="J284" s="484" t="s">
        <v>783</v>
      </c>
      <c r="K284" s="484">
        <v>0.7107175925925926</v>
      </c>
      <c r="L284" s="397"/>
    </row>
    <row r="285" spans="1:12" s="301" customFormat="1" ht="18.649999999999999" customHeight="1" x14ac:dyDescent="0.35">
      <c r="A285" s="299"/>
      <c r="B285" s="234"/>
      <c r="C285" s="370" t="s">
        <v>779</v>
      </c>
      <c r="D285" s="721"/>
      <c r="E285" s="719"/>
      <c r="F285" s="536">
        <v>10</v>
      </c>
      <c r="G285" s="300">
        <v>3725</v>
      </c>
      <c r="H285" s="486">
        <f>F285*G285</f>
        <v>37250</v>
      </c>
      <c r="I285" s="487" t="s">
        <v>550</v>
      </c>
      <c r="J285" s="484" t="s">
        <v>783</v>
      </c>
      <c r="K285" s="484">
        <v>0.7107175925925926</v>
      </c>
      <c r="L285" s="537"/>
    </row>
    <row r="286" spans="1:12" s="70" customFormat="1" ht="18.649999999999999" customHeight="1" x14ac:dyDescent="0.35">
      <c r="A286" s="208"/>
      <c r="B286" s="216"/>
      <c r="C286" s="209"/>
      <c r="D286" s="210"/>
      <c r="E286" s="211"/>
      <c r="F286" s="212"/>
      <c r="G286" s="399" t="s">
        <v>12</v>
      </c>
      <c r="H286" s="400">
        <f>SUM(H284:H285)</f>
        <v>60050</v>
      </c>
      <c r="I286" s="394"/>
      <c r="J286" s="208"/>
      <c r="K286" s="208"/>
      <c r="L286" s="208"/>
    </row>
    <row r="287" spans="1:12" s="70" customFormat="1" ht="18.649999999999999" customHeight="1" x14ac:dyDescent="0.35">
      <c r="A287" s="126">
        <v>23</v>
      </c>
      <c r="B287" s="215" t="s">
        <v>397</v>
      </c>
      <c r="C287" s="204" t="s">
        <v>400</v>
      </c>
      <c r="D287" s="205" t="s">
        <v>398</v>
      </c>
      <c r="E287" s="115">
        <v>0.33432870370370371</v>
      </c>
      <c r="F287" s="206">
        <v>1</v>
      </c>
      <c r="G287" s="207">
        <v>440000</v>
      </c>
      <c r="H287" s="207">
        <f>F287*G287</f>
        <v>440000</v>
      </c>
      <c r="I287" s="392" t="s">
        <v>28</v>
      </c>
      <c r="J287" s="126" t="s">
        <v>41</v>
      </c>
      <c r="K287" s="205"/>
      <c r="L287" s="126"/>
    </row>
    <row r="288" spans="1:12" s="70" customFormat="1" ht="18.649999999999999" customHeight="1" x14ac:dyDescent="0.35">
      <c r="A288" s="208"/>
      <c r="B288" s="216"/>
      <c r="C288" s="209"/>
      <c r="D288" s="210"/>
      <c r="E288" s="211"/>
      <c r="F288" s="212"/>
      <c r="G288" s="213" t="s">
        <v>12</v>
      </c>
      <c r="H288" s="214">
        <f>SUM(H287:H287)</f>
        <v>440000</v>
      </c>
      <c r="I288" s="394"/>
      <c r="J288" s="208"/>
      <c r="K288" s="208"/>
      <c r="L288" s="208"/>
    </row>
    <row r="289" spans="1:12" s="70" customFormat="1" ht="18.649999999999999" customHeight="1" x14ac:dyDescent="0.35">
      <c r="A289" s="126">
        <v>24</v>
      </c>
      <c r="B289" s="215" t="s">
        <v>791</v>
      </c>
      <c r="C289" s="204" t="s">
        <v>787</v>
      </c>
      <c r="D289" s="205" t="s">
        <v>792</v>
      </c>
      <c r="E289" s="115">
        <v>0.4607175925925926</v>
      </c>
      <c r="F289" s="206">
        <v>5</v>
      </c>
      <c r="G289" s="207">
        <v>10345</v>
      </c>
      <c r="H289" s="207">
        <f>F289*G289</f>
        <v>51725</v>
      </c>
      <c r="I289" s="392" t="s">
        <v>111</v>
      </c>
      <c r="J289" s="126" t="s">
        <v>793</v>
      </c>
      <c r="K289" s="205">
        <v>0.4607175925925926</v>
      </c>
      <c r="L289" s="126"/>
    </row>
    <row r="290" spans="1:12" s="70" customFormat="1" ht="18.649999999999999" customHeight="1" x14ac:dyDescent="0.35">
      <c r="A290" s="208"/>
      <c r="B290" s="216"/>
      <c r="C290" s="209"/>
      <c r="D290" s="210"/>
      <c r="E290" s="211"/>
      <c r="F290" s="212"/>
      <c r="G290" s="213" t="s">
        <v>12</v>
      </c>
      <c r="H290" s="214">
        <f>SUM(H289:H289)</f>
        <v>51725</v>
      </c>
      <c r="I290" s="394"/>
      <c r="J290" s="208"/>
      <c r="K290" s="208"/>
      <c r="L290" s="208"/>
    </row>
    <row r="291" spans="1:12" s="70" customFormat="1" ht="18.649999999999999" customHeight="1" x14ac:dyDescent="0.35">
      <c r="A291" s="126">
        <v>25</v>
      </c>
      <c r="B291" s="215" t="s">
        <v>788</v>
      </c>
      <c r="C291" s="204" t="s">
        <v>789</v>
      </c>
      <c r="D291" s="205" t="s">
        <v>790</v>
      </c>
      <c r="E291" s="115">
        <v>0.4607175925925926</v>
      </c>
      <c r="F291" s="206">
        <v>1</v>
      </c>
      <c r="G291" s="207">
        <v>860000</v>
      </c>
      <c r="H291" s="207">
        <f>F291*G291</f>
        <v>860000</v>
      </c>
      <c r="I291" s="392" t="s">
        <v>655</v>
      </c>
      <c r="J291" s="126" t="s">
        <v>163</v>
      </c>
      <c r="K291" s="205">
        <v>0.25377314814814816</v>
      </c>
      <c r="L291" s="126"/>
    </row>
    <row r="292" spans="1:12" s="70" customFormat="1" ht="18.649999999999999" customHeight="1" x14ac:dyDescent="0.35">
      <c r="A292" s="208"/>
      <c r="B292" s="216"/>
      <c r="C292" s="209"/>
      <c r="D292" s="480"/>
      <c r="E292" s="481"/>
      <c r="F292" s="212"/>
      <c r="G292" s="213" t="s">
        <v>12</v>
      </c>
      <c r="H292" s="214">
        <f>SUM(H291:H291)</f>
        <v>860000</v>
      </c>
      <c r="I292" s="394"/>
      <c r="J292" s="208"/>
      <c r="K292" s="208"/>
      <c r="L292" s="208"/>
    </row>
    <row r="293" spans="1:12" s="70" customFormat="1" ht="18.649999999999999" customHeight="1" x14ac:dyDescent="0.35">
      <c r="A293" s="126">
        <v>26</v>
      </c>
      <c r="B293" s="163" t="s">
        <v>794</v>
      </c>
      <c r="C293" s="204" t="s">
        <v>795</v>
      </c>
      <c r="D293" s="478" t="s">
        <v>796</v>
      </c>
      <c r="E293" s="479">
        <v>0.4607175925925926</v>
      </c>
      <c r="F293" s="206">
        <v>2</v>
      </c>
      <c r="G293" s="207">
        <v>301000</v>
      </c>
      <c r="H293" s="207">
        <f>F293*G293</f>
        <v>602000</v>
      </c>
      <c r="I293" s="392" t="s">
        <v>759</v>
      </c>
      <c r="J293" s="205" t="s">
        <v>163</v>
      </c>
      <c r="K293" s="205">
        <v>0.33641203703703698</v>
      </c>
      <c r="L293" s="126"/>
    </row>
    <row r="294" spans="1:12" s="70" customFormat="1" ht="18.649999999999999" customHeight="1" x14ac:dyDescent="0.35">
      <c r="A294" s="208"/>
      <c r="B294" s="216"/>
      <c r="C294" s="209"/>
      <c r="D294" s="210"/>
      <c r="E294" s="211"/>
      <c r="F294" s="212"/>
      <c r="G294" s="399" t="s">
        <v>12</v>
      </c>
      <c r="H294" s="400">
        <f>SUM(H293:H293)</f>
        <v>602000</v>
      </c>
      <c r="I294" s="394"/>
      <c r="J294" s="208"/>
      <c r="K294" s="208"/>
      <c r="L294" s="208"/>
    </row>
    <row r="295" spans="1:12" s="70" customFormat="1" ht="18.649999999999999" customHeight="1" x14ac:dyDescent="0.35">
      <c r="A295" s="126">
        <v>27</v>
      </c>
      <c r="B295" s="215" t="s">
        <v>870</v>
      </c>
      <c r="C295" s="204" t="s">
        <v>864</v>
      </c>
      <c r="D295" s="205" t="s">
        <v>871</v>
      </c>
      <c r="E295" s="115">
        <v>0.7107175925925926</v>
      </c>
      <c r="F295" s="206">
        <v>2</v>
      </c>
      <c r="G295" s="207">
        <v>70435.72</v>
      </c>
      <c r="H295" s="207">
        <f>F295*G295</f>
        <v>140871.44</v>
      </c>
      <c r="I295" s="392" t="s">
        <v>496</v>
      </c>
      <c r="J295" s="126" t="s">
        <v>103</v>
      </c>
      <c r="K295" s="205">
        <v>0.88016203703703699</v>
      </c>
      <c r="L295" s="126"/>
    </row>
    <row r="296" spans="1:12" s="70" customFormat="1" ht="18.649999999999999" customHeight="1" x14ac:dyDescent="0.35">
      <c r="A296" s="208"/>
      <c r="B296" s="216"/>
      <c r="C296" s="209"/>
      <c r="D296" s="210"/>
      <c r="E296" s="211"/>
      <c r="F296" s="212"/>
      <c r="G296" s="213" t="s">
        <v>12</v>
      </c>
      <c r="H296" s="214">
        <f>SUM(H295:H295)</f>
        <v>140871.44</v>
      </c>
      <c r="I296" s="394"/>
      <c r="J296" s="208"/>
      <c r="K296" s="208"/>
      <c r="L296" s="208"/>
    </row>
    <row r="297" spans="1:12" s="44" customFormat="1" ht="18.649999999999999" customHeight="1" x14ac:dyDescent="0.35">
      <c r="A297" s="311">
        <v>28</v>
      </c>
      <c r="B297" s="582" t="s">
        <v>1161</v>
      </c>
      <c r="C297" s="67" t="s">
        <v>1160</v>
      </c>
      <c r="D297" s="709" t="s">
        <v>1162</v>
      </c>
      <c r="E297" s="711">
        <v>1.0857175925925926</v>
      </c>
      <c r="F297" s="583">
        <v>1</v>
      </c>
      <c r="G297" s="584">
        <v>202000</v>
      </c>
      <c r="H297" s="584">
        <f>F297*G297</f>
        <v>202000</v>
      </c>
      <c r="I297" s="585" t="s">
        <v>28</v>
      </c>
      <c r="J297" s="308" t="s">
        <v>1163</v>
      </c>
      <c r="K297" s="308">
        <v>0.7107175925925926</v>
      </c>
      <c r="L297" s="311"/>
    </row>
    <row r="298" spans="1:12" s="44" customFormat="1" ht="18.649999999999999" customHeight="1" x14ac:dyDescent="0.35">
      <c r="A298" s="50"/>
      <c r="B298" s="67"/>
      <c r="C298" s="67" t="s">
        <v>1159</v>
      </c>
      <c r="D298" s="710"/>
      <c r="E298" s="712"/>
      <c r="F298" s="586">
        <v>1</v>
      </c>
      <c r="G298" s="138">
        <v>172500</v>
      </c>
      <c r="H298" s="584">
        <f>F298*G298</f>
        <v>172500</v>
      </c>
      <c r="I298" s="585" t="s">
        <v>28</v>
      </c>
      <c r="J298" s="308" t="s">
        <v>1163</v>
      </c>
      <c r="K298" s="308">
        <v>0.7107175925925926</v>
      </c>
      <c r="L298" s="587"/>
    </row>
    <row r="299" spans="1:12" s="70" customFormat="1" ht="18.649999999999999" customHeight="1" x14ac:dyDescent="0.35">
      <c r="A299" s="208"/>
      <c r="B299" s="216"/>
      <c r="C299" s="209"/>
      <c r="D299" s="210"/>
      <c r="E299" s="211"/>
      <c r="F299" s="212"/>
      <c r="G299" s="399" t="s">
        <v>12</v>
      </c>
      <c r="H299" s="400">
        <f>SUM(H297:H298)</f>
        <v>374500</v>
      </c>
      <c r="I299" s="394"/>
      <c r="J299" s="208"/>
      <c r="K299" s="208"/>
      <c r="L299" s="208"/>
    </row>
  </sheetData>
  <mergeCells count="110">
    <mergeCell ref="D260:D262"/>
    <mergeCell ref="E260:E262"/>
    <mergeCell ref="D264:D277"/>
    <mergeCell ref="E264:E277"/>
    <mergeCell ref="K177:K178"/>
    <mergeCell ref="K179:K181"/>
    <mergeCell ref="E185:E188"/>
    <mergeCell ref="I179:I181"/>
    <mergeCell ref="K185:K188"/>
    <mergeCell ref="E179:E181"/>
    <mergeCell ref="J185:J188"/>
    <mergeCell ref="D213:D214"/>
    <mergeCell ref="E213:E214"/>
    <mergeCell ref="J213:J214"/>
    <mergeCell ref="K213:K214"/>
    <mergeCell ref="J177:J178"/>
    <mergeCell ref="I177:I178"/>
    <mergeCell ref="J179:J181"/>
    <mergeCell ref="I185:I188"/>
    <mergeCell ref="E191:E195"/>
    <mergeCell ref="D189:D190"/>
    <mergeCell ref="D197:D200"/>
    <mergeCell ref="E197:E200"/>
    <mergeCell ref="D201:D206"/>
    <mergeCell ref="A2:I2"/>
    <mergeCell ref="A8:A9"/>
    <mergeCell ref="D114:D115"/>
    <mergeCell ref="E77:E81"/>
    <mergeCell ref="I44:I45"/>
    <mergeCell ref="E182:E183"/>
    <mergeCell ref="E140:E141"/>
    <mergeCell ref="E170:E176"/>
    <mergeCell ref="E154:E155"/>
    <mergeCell ref="D140:D141"/>
    <mergeCell ref="D8:D9"/>
    <mergeCell ref="E8:E9"/>
    <mergeCell ref="B8:B9"/>
    <mergeCell ref="E82:E89"/>
    <mergeCell ref="D93:D111"/>
    <mergeCell ref="D47:D69"/>
    <mergeCell ref="D70:D75"/>
    <mergeCell ref="E70:E75"/>
    <mergeCell ref="E47:E69"/>
    <mergeCell ref="D77:D81"/>
    <mergeCell ref="D120:D124"/>
    <mergeCell ref="D36:D38"/>
    <mergeCell ref="E36:E38"/>
    <mergeCell ref="D168:D169"/>
    <mergeCell ref="E10:E14"/>
    <mergeCell ref="E93:E111"/>
    <mergeCell ref="D44:D45"/>
    <mergeCell ref="D10:D14"/>
    <mergeCell ref="D19:D23"/>
    <mergeCell ref="E19:E23"/>
    <mergeCell ref="D28:D31"/>
    <mergeCell ref="E28:E31"/>
    <mergeCell ref="D125:D127"/>
    <mergeCell ref="E125:E127"/>
    <mergeCell ref="D15:D18"/>
    <mergeCell ref="E15:E18"/>
    <mergeCell ref="D32:D34"/>
    <mergeCell ref="E32:E34"/>
    <mergeCell ref="E120:E124"/>
    <mergeCell ref="D116:D119"/>
    <mergeCell ref="D82:D89"/>
    <mergeCell ref="E207:E211"/>
    <mergeCell ref="D254:D257"/>
    <mergeCell ref="B207:B211"/>
    <mergeCell ref="B191:B195"/>
    <mergeCell ref="D154:D155"/>
    <mergeCell ref="D179:D181"/>
    <mergeCell ref="D170:D176"/>
    <mergeCell ref="E158:E159"/>
    <mergeCell ref="E161:E163"/>
    <mergeCell ref="D215:D216"/>
    <mergeCell ref="E215:E216"/>
    <mergeCell ref="D220:D229"/>
    <mergeCell ref="E220:E229"/>
    <mergeCell ref="E189:E190"/>
    <mergeCell ref="E254:E257"/>
    <mergeCell ref="D161:D163"/>
    <mergeCell ref="D158:D159"/>
    <mergeCell ref="B197:B200"/>
    <mergeCell ref="B201:B206"/>
    <mergeCell ref="E201:E206"/>
    <mergeCell ref="D185:D188"/>
    <mergeCell ref="B15:B18"/>
    <mergeCell ref="B10:B14"/>
    <mergeCell ref="D297:D298"/>
    <mergeCell ref="E297:E298"/>
    <mergeCell ref="D142:D147"/>
    <mergeCell ref="E142:E147"/>
    <mergeCell ref="E44:E45"/>
    <mergeCell ref="D182:D183"/>
    <mergeCell ref="D129:D132"/>
    <mergeCell ref="E129:E132"/>
    <mergeCell ref="E116:E119"/>
    <mergeCell ref="E284:E285"/>
    <mergeCell ref="D284:D285"/>
    <mergeCell ref="D280:D282"/>
    <mergeCell ref="E280:E282"/>
    <mergeCell ref="E168:E169"/>
    <mergeCell ref="D177:D178"/>
    <mergeCell ref="E177:E178"/>
    <mergeCell ref="D239:D242"/>
    <mergeCell ref="E239:E242"/>
    <mergeCell ref="D244:D251"/>
    <mergeCell ref="E244:E251"/>
    <mergeCell ref="D191:D195"/>
    <mergeCell ref="D207:D211"/>
  </mergeCells>
  <phoneticPr fontId="16" type="noConversion"/>
  <pageMargins left="0.31496062992125984" right="0.15748031496062992" top="0.27559055118110237" bottom="0.23622047244094491" header="0.31496062992125984" footer="0.31496062992125984"/>
  <pageSetup paperSize="9" orientation="landscape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5"/>
  <sheetViews>
    <sheetView topLeftCell="A46" zoomScaleNormal="100" workbookViewId="0">
      <selection activeCell="G109" sqref="G109:G114"/>
    </sheetView>
  </sheetViews>
  <sheetFormatPr defaultRowHeight="14.5" x14ac:dyDescent="0.35"/>
  <cols>
    <col min="1" max="1" width="5.54296875" style="27" bestFit="1" customWidth="1"/>
    <col min="2" max="2" width="11.36328125" bestFit="1" customWidth="1"/>
    <col min="3" max="3" width="11.6328125" bestFit="1" customWidth="1"/>
    <col min="4" max="4" width="50.453125" customWidth="1"/>
    <col min="5" max="5" width="4" bestFit="1" customWidth="1"/>
    <col min="6" max="6" width="14" bestFit="1" customWidth="1"/>
    <col min="7" max="7" width="17.36328125" bestFit="1" customWidth="1"/>
    <col min="8" max="8" width="23.6328125" bestFit="1" customWidth="1"/>
    <col min="9" max="9" width="16.54296875" bestFit="1" customWidth="1"/>
    <col min="10" max="10" width="15.54296875" bestFit="1" customWidth="1"/>
  </cols>
  <sheetData>
    <row r="1" spans="1:11" s="298" customFormat="1" ht="17.399999999999999" customHeight="1" x14ac:dyDescent="0.35">
      <c r="A1" s="296" t="s">
        <v>13</v>
      </c>
      <c r="B1" s="296" t="s">
        <v>16</v>
      </c>
      <c r="C1" s="296" t="s">
        <v>17</v>
      </c>
      <c r="D1" s="296" t="s">
        <v>3</v>
      </c>
      <c r="E1" s="296" t="s">
        <v>1</v>
      </c>
      <c r="F1" s="296" t="s">
        <v>18</v>
      </c>
      <c r="G1" s="296" t="s">
        <v>10</v>
      </c>
      <c r="H1" s="296" t="s">
        <v>514</v>
      </c>
      <c r="I1" s="297" t="s">
        <v>515</v>
      </c>
      <c r="J1" s="297" t="s">
        <v>516</v>
      </c>
      <c r="K1" s="296" t="s">
        <v>511</v>
      </c>
    </row>
    <row r="2" spans="1:11" s="11" customFormat="1" ht="13.25" customHeight="1" x14ac:dyDescent="0.35">
      <c r="A2" s="217">
        <v>1</v>
      </c>
      <c r="B2" s="20">
        <v>158</v>
      </c>
      <c r="C2" s="227" t="s">
        <v>59</v>
      </c>
      <c r="D2" s="22" t="s">
        <v>56</v>
      </c>
      <c r="E2" s="20">
        <v>1</v>
      </c>
      <c r="F2" s="9">
        <v>8539.2999999999993</v>
      </c>
      <c r="G2" s="9">
        <f t="shared" ref="G2:G21" si="0">F2*E2</f>
        <v>8539.2999999999993</v>
      </c>
      <c r="H2" s="381" t="s">
        <v>38</v>
      </c>
      <c r="I2" s="21" t="s">
        <v>43</v>
      </c>
      <c r="J2" s="34" t="s">
        <v>84</v>
      </c>
    </row>
    <row r="3" spans="1:11" s="11" customFormat="1" ht="18.75" customHeight="1" x14ac:dyDescent="0.35">
      <c r="A3" s="20">
        <v>2</v>
      </c>
      <c r="B3" s="20">
        <v>29</v>
      </c>
      <c r="C3" s="153">
        <v>0.83709490740740744</v>
      </c>
      <c r="D3" s="66" t="s">
        <v>69</v>
      </c>
      <c r="E3" s="42">
        <f>2-1</f>
        <v>1</v>
      </c>
      <c r="F3" s="9">
        <v>115000</v>
      </c>
      <c r="G3" s="9">
        <f t="shared" si="0"/>
        <v>115000</v>
      </c>
      <c r="H3" s="381" t="s">
        <v>28</v>
      </c>
      <c r="I3" s="21" t="s">
        <v>70</v>
      </c>
      <c r="J3" s="398">
        <v>1.0044560185185185</v>
      </c>
    </row>
    <row r="4" spans="1:11" s="11" customFormat="1" ht="18.75" customHeight="1" x14ac:dyDescent="0.35">
      <c r="A4" s="20">
        <v>3</v>
      </c>
      <c r="B4" s="186" t="s">
        <v>74</v>
      </c>
      <c r="C4" s="187" t="s">
        <v>75</v>
      </c>
      <c r="D4" s="66" t="s">
        <v>73</v>
      </c>
      <c r="E4" s="42">
        <f>2-1</f>
        <v>1</v>
      </c>
      <c r="F4" s="9">
        <v>12697.65</v>
      </c>
      <c r="G4" s="9">
        <f t="shared" si="0"/>
        <v>12697.65</v>
      </c>
      <c r="H4" s="381" t="s">
        <v>38</v>
      </c>
      <c r="I4" s="21" t="s">
        <v>125</v>
      </c>
      <c r="J4" s="34">
        <v>0.83987268518518521</v>
      </c>
    </row>
    <row r="5" spans="1:11" s="11" customFormat="1" ht="18.75" customHeight="1" x14ac:dyDescent="0.35">
      <c r="A5" s="20">
        <v>4</v>
      </c>
      <c r="B5" s="20" t="s">
        <v>118</v>
      </c>
      <c r="C5" s="153">
        <v>1.1315393518518519</v>
      </c>
      <c r="D5" s="66" t="s">
        <v>117</v>
      </c>
      <c r="E5" s="42">
        <v>2</v>
      </c>
      <c r="F5" s="9">
        <v>1870.5</v>
      </c>
      <c r="G5" s="9">
        <f t="shared" si="0"/>
        <v>3741</v>
      </c>
      <c r="H5" s="381" t="s">
        <v>119</v>
      </c>
      <c r="I5" s="21" t="s">
        <v>30</v>
      </c>
      <c r="J5" s="34">
        <v>0.25862268518518522</v>
      </c>
    </row>
    <row r="6" spans="1:11" s="11" customFormat="1" ht="18.75" customHeight="1" x14ac:dyDescent="0.35">
      <c r="A6" s="676">
        <v>5</v>
      </c>
      <c r="B6" s="676" t="s">
        <v>162</v>
      </c>
      <c r="C6" s="668">
        <v>0.88292824074074072</v>
      </c>
      <c r="D6" s="66" t="s">
        <v>160</v>
      </c>
      <c r="E6" s="42">
        <v>5</v>
      </c>
      <c r="F6" s="9">
        <v>101000</v>
      </c>
      <c r="G6" s="9">
        <f t="shared" si="0"/>
        <v>505000</v>
      </c>
      <c r="H6" s="688" t="s">
        <v>82</v>
      </c>
      <c r="I6" s="34" t="s">
        <v>43</v>
      </c>
      <c r="J6" s="34">
        <v>0.54405092592592597</v>
      </c>
    </row>
    <row r="7" spans="1:11" s="11" customFormat="1" ht="18.75" customHeight="1" x14ac:dyDescent="0.35">
      <c r="A7" s="678"/>
      <c r="B7" s="678"/>
      <c r="C7" s="669"/>
      <c r="D7" s="66" t="s">
        <v>161</v>
      </c>
      <c r="E7" s="42">
        <f>10-9</f>
        <v>1</v>
      </c>
      <c r="F7" s="9">
        <v>4080</v>
      </c>
      <c r="G7" s="9">
        <f t="shared" si="0"/>
        <v>4080</v>
      </c>
      <c r="H7" s="689"/>
      <c r="I7" s="21" t="s">
        <v>66</v>
      </c>
      <c r="J7" s="34" t="s">
        <v>146</v>
      </c>
    </row>
    <row r="8" spans="1:11" s="11" customFormat="1" ht="18.75" customHeight="1" x14ac:dyDescent="0.35">
      <c r="A8" s="20">
        <v>6</v>
      </c>
      <c r="B8" s="20" t="s">
        <v>178</v>
      </c>
      <c r="C8" s="153">
        <v>9.195601851851852E-2</v>
      </c>
      <c r="D8" s="66" t="s">
        <v>177</v>
      </c>
      <c r="E8" s="42">
        <v>1</v>
      </c>
      <c r="F8" s="9">
        <v>939593.7</v>
      </c>
      <c r="G8" s="9">
        <f t="shared" si="0"/>
        <v>939593.7</v>
      </c>
      <c r="H8" s="381" t="s">
        <v>82</v>
      </c>
      <c r="I8" s="21" t="s">
        <v>43</v>
      </c>
      <c r="J8" s="34" t="s">
        <v>179</v>
      </c>
    </row>
    <row r="9" spans="1:11" s="11" customFormat="1" ht="23" customHeight="1" x14ac:dyDescent="0.35">
      <c r="A9" s="676">
        <v>7</v>
      </c>
      <c r="B9" s="676" t="s">
        <v>231</v>
      </c>
      <c r="C9" s="668">
        <v>0.46695601851851848</v>
      </c>
      <c r="D9" s="66" t="s">
        <v>233</v>
      </c>
      <c r="E9" s="42">
        <v>1</v>
      </c>
      <c r="F9" s="9">
        <v>405389.7</v>
      </c>
      <c r="G9" s="9">
        <f t="shared" si="0"/>
        <v>405389.7</v>
      </c>
      <c r="H9" s="381" t="s">
        <v>82</v>
      </c>
      <c r="I9" s="20" t="s">
        <v>103</v>
      </c>
      <c r="J9" s="153">
        <v>0.6697453703703703</v>
      </c>
    </row>
    <row r="10" spans="1:11" s="11" customFormat="1" ht="23" customHeight="1" x14ac:dyDescent="0.35">
      <c r="A10" s="677"/>
      <c r="B10" s="677"/>
      <c r="C10" s="679"/>
      <c r="D10" s="68" t="s">
        <v>1219</v>
      </c>
      <c r="E10" s="42">
        <v>1</v>
      </c>
      <c r="F10" s="9">
        <v>471515.4</v>
      </c>
      <c r="G10" s="9">
        <f t="shared" si="0"/>
        <v>471515.4</v>
      </c>
      <c r="H10" s="381" t="s">
        <v>82</v>
      </c>
      <c r="I10" s="20" t="s">
        <v>103</v>
      </c>
      <c r="J10" s="153">
        <v>0.6697453703703703</v>
      </c>
    </row>
    <row r="11" spans="1:11" s="11" customFormat="1" ht="23" customHeight="1" x14ac:dyDescent="0.35">
      <c r="A11" s="677"/>
      <c r="B11" s="677"/>
      <c r="C11" s="679"/>
      <c r="D11" s="68" t="s">
        <v>239</v>
      </c>
      <c r="E11" s="42">
        <v>1</v>
      </c>
      <c r="F11" s="9">
        <v>1981496.7</v>
      </c>
      <c r="G11" s="9">
        <f t="shared" si="0"/>
        <v>1981496.7</v>
      </c>
      <c r="H11" s="381" t="s">
        <v>82</v>
      </c>
      <c r="I11" s="20" t="s">
        <v>103</v>
      </c>
      <c r="J11" s="153">
        <v>0.6697453703703703</v>
      </c>
    </row>
    <row r="12" spans="1:11" s="137" customFormat="1" ht="23" customHeight="1" x14ac:dyDescent="0.35">
      <c r="A12" s="677"/>
      <c r="B12" s="677"/>
      <c r="C12" s="679"/>
      <c r="D12" s="234" t="s">
        <v>243</v>
      </c>
      <c r="E12" s="299">
        <v>2</v>
      </c>
      <c r="F12" s="329">
        <v>100915.65</v>
      </c>
      <c r="G12" s="329">
        <f t="shared" si="0"/>
        <v>201831.3</v>
      </c>
      <c r="H12" s="382" t="s">
        <v>82</v>
      </c>
      <c r="I12" s="217" t="s">
        <v>103</v>
      </c>
      <c r="J12" s="364">
        <v>0.6697453703703703</v>
      </c>
    </row>
    <row r="13" spans="1:11" s="137" customFormat="1" ht="23" customHeight="1" x14ac:dyDescent="0.35">
      <c r="A13" s="677"/>
      <c r="B13" s="677"/>
      <c r="C13" s="679"/>
      <c r="D13" s="234" t="s">
        <v>244</v>
      </c>
      <c r="E13" s="299">
        <v>1</v>
      </c>
      <c r="F13" s="329">
        <v>166477.04999999999</v>
      </c>
      <c r="G13" s="329">
        <f t="shared" si="0"/>
        <v>166477.04999999999</v>
      </c>
      <c r="H13" s="382" t="s">
        <v>82</v>
      </c>
      <c r="I13" s="217" t="s">
        <v>103</v>
      </c>
      <c r="J13" s="364">
        <v>0.6697453703703703</v>
      </c>
    </row>
    <row r="14" spans="1:11" s="11" customFormat="1" ht="23" customHeight="1" x14ac:dyDescent="0.35">
      <c r="A14" s="677"/>
      <c r="B14" s="677"/>
      <c r="C14" s="679"/>
      <c r="D14" s="66" t="s">
        <v>245</v>
      </c>
      <c r="E14" s="42">
        <v>1</v>
      </c>
      <c r="F14" s="9">
        <v>200608.65</v>
      </c>
      <c r="G14" s="9">
        <f t="shared" si="0"/>
        <v>200608.65</v>
      </c>
      <c r="H14" s="381" t="s">
        <v>82</v>
      </c>
      <c r="I14" s="20" t="s">
        <v>103</v>
      </c>
      <c r="J14" s="153">
        <v>0.6697453703703703</v>
      </c>
    </row>
    <row r="15" spans="1:11" s="137" customFormat="1" ht="23" customHeight="1" x14ac:dyDescent="0.35">
      <c r="A15" s="677"/>
      <c r="B15" s="677"/>
      <c r="C15" s="679"/>
      <c r="D15" s="66" t="s">
        <v>1220</v>
      </c>
      <c r="E15" s="42">
        <v>1</v>
      </c>
      <c r="F15" s="9">
        <v>227370.15</v>
      </c>
      <c r="G15" s="9">
        <f t="shared" si="0"/>
        <v>227370.15</v>
      </c>
      <c r="H15" s="381" t="s">
        <v>82</v>
      </c>
      <c r="I15" s="20" t="s">
        <v>103</v>
      </c>
      <c r="J15" s="153">
        <v>0.6697453703703703</v>
      </c>
    </row>
    <row r="16" spans="1:11" s="137" customFormat="1" ht="23" customHeight="1" x14ac:dyDescent="0.35">
      <c r="A16" s="677"/>
      <c r="B16" s="677"/>
      <c r="C16" s="679"/>
      <c r="D16" s="234" t="s">
        <v>248</v>
      </c>
      <c r="E16" s="299">
        <v>1</v>
      </c>
      <c r="F16" s="329">
        <v>284407.2</v>
      </c>
      <c r="G16" s="329">
        <f t="shared" si="0"/>
        <v>284407.2</v>
      </c>
      <c r="H16" s="382" t="s">
        <v>82</v>
      </c>
      <c r="I16" s="217" t="s">
        <v>103</v>
      </c>
      <c r="J16" s="364">
        <v>0.6697453703703703</v>
      </c>
    </row>
    <row r="17" spans="1:10" s="11" customFormat="1" ht="23" customHeight="1" x14ac:dyDescent="0.35">
      <c r="A17" s="677"/>
      <c r="B17" s="677"/>
      <c r="C17" s="679"/>
      <c r="D17" s="66" t="s">
        <v>1221</v>
      </c>
      <c r="E17" s="42">
        <v>1</v>
      </c>
      <c r="F17" s="9">
        <v>212116.95</v>
      </c>
      <c r="G17" s="9">
        <f t="shared" si="0"/>
        <v>212116.95</v>
      </c>
      <c r="H17" s="381" t="s">
        <v>82</v>
      </c>
      <c r="I17" s="20" t="s">
        <v>103</v>
      </c>
      <c r="J17" s="153">
        <v>0.6697453703703703</v>
      </c>
    </row>
    <row r="18" spans="1:10" s="11" customFormat="1" ht="23" customHeight="1" x14ac:dyDescent="0.35">
      <c r="A18" s="677"/>
      <c r="B18" s="677"/>
      <c r="C18" s="679"/>
      <c r="D18" s="66" t="s">
        <v>250</v>
      </c>
      <c r="E18" s="42">
        <v>1</v>
      </c>
      <c r="F18" s="9">
        <v>212116.95</v>
      </c>
      <c r="G18" s="9">
        <f t="shared" si="0"/>
        <v>212116.95</v>
      </c>
      <c r="H18" s="381" t="s">
        <v>82</v>
      </c>
      <c r="I18" s="20" t="s">
        <v>103</v>
      </c>
      <c r="J18" s="153">
        <v>0.6697453703703703</v>
      </c>
    </row>
    <row r="19" spans="1:10" s="137" customFormat="1" ht="23" customHeight="1" x14ac:dyDescent="0.35">
      <c r="A19" s="677"/>
      <c r="B19" s="677"/>
      <c r="C19" s="679"/>
      <c r="D19" s="234" t="s">
        <v>251</v>
      </c>
      <c r="E19" s="299">
        <v>1</v>
      </c>
      <c r="F19" s="329">
        <v>398310.3</v>
      </c>
      <c r="G19" s="329">
        <f t="shared" si="0"/>
        <v>398310.3</v>
      </c>
      <c r="H19" s="382" t="s">
        <v>82</v>
      </c>
      <c r="I19" s="217" t="s">
        <v>103</v>
      </c>
      <c r="J19" s="364">
        <v>0.6697453703703703</v>
      </c>
    </row>
    <row r="20" spans="1:10" s="137" customFormat="1" ht="23" customHeight="1" x14ac:dyDescent="0.35">
      <c r="A20" s="677"/>
      <c r="B20" s="677"/>
      <c r="C20" s="679"/>
      <c r="D20" s="234" t="s">
        <v>246</v>
      </c>
      <c r="E20" s="299">
        <v>1</v>
      </c>
      <c r="F20" s="329">
        <v>139638.6</v>
      </c>
      <c r="G20" s="329">
        <f t="shared" si="0"/>
        <v>139638.6</v>
      </c>
      <c r="H20" s="382" t="s">
        <v>82</v>
      </c>
      <c r="I20" s="217" t="s">
        <v>103</v>
      </c>
      <c r="J20" s="364">
        <v>0.6697453703703703</v>
      </c>
    </row>
    <row r="21" spans="1:10" s="137" customFormat="1" ht="23" customHeight="1" x14ac:dyDescent="0.35">
      <c r="A21" s="678"/>
      <c r="B21" s="678"/>
      <c r="C21" s="669"/>
      <c r="D21" s="234" t="s">
        <v>244</v>
      </c>
      <c r="E21" s="299">
        <v>2</v>
      </c>
      <c r="F21" s="329">
        <v>166477.04999999999</v>
      </c>
      <c r="G21" s="329">
        <f t="shared" si="0"/>
        <v>332954.09999999998</v>
      </c>
      <c r="H21" s="382" t="s">
        <v>82</v>
      </c>
      <c r="I21" s="217" t="s">
        <v>103</v>
      </c>
      <c r="J21" s="364">
        <v>0.6697453703703703</v>
      </c>
    </row>
    <row r="22" spans="1:10" s="663" customFormat="1" ht="19.25" customHeight="1" x14ac:dyDescent="0.35">
      <c r="A22" s="656">
        <v>8</v>
      </c>
      <c r="B22" s="656" t="s">
        <v>263</v>
      </c>
      <c r="C22" s="657">
        <v>0.84195601851851853</v>
      </c>
      <c r="D22" s="658" t="s">
        <v>264</v>
      </c>
      <c r="E22" s="656">
        <v>2</v>
      </c>
      <c r="F22" s="659">
        <v>176660.1</v>
      </c>
      <c r="G22" s="659">
        <f t="shared" ref="G22:G30" si="1">F22*E22</f>
        <v>353320.2</v>
      </c>
      <c r="H22" s="660" t="s">
        <v>1213</v>
      </c>
      <c r="I22" s="661" t="s">
        <v>51</v>
      </c>
      <c r="J22" s="662">
        <v>0.46141203703703698</v>
      </c>
    </row>
    <row r="23" spans="1:10" s="11" customFormat="1" ht="19.25" customHeight="1" x14ac:dyDescent="0.35">
      <c r="A23" s="676">
        <v>9</v>
      </c>
      <c r="B23" s="676" t="s">
        <v>284</v>
      </c>
      <c r="C23" s="668">
        <v>0.84195601851851853</v>
      </c>
      <c r="D23" s="418" t="s">
        <v>265</v>
      </c>
      <c r="E23" s="42">
        <f>2-1</f>
        <v>1</v>
      </c>
      <c r="F23" s="419">
        <v>876734.1</v>
      </c>
      <c r="G23" s="9">
        <f t="shared" si="1"/>
        <v>876734.1</v>
      </c>
      <c r="H23" s="381" t="s">
        <v>82</v>
      </c>
      <c r="I23" s="21" t="s">
        <v>43</v>
      </c>
      <c r="J23" s="34">
        <v>0.46141203703703698</v>
      </c>
    </row>
    <row r="24" spans="1:10" s="11" customFormat="1" x14ac:dyDescent="0.35">
      <c r="A24" s="677"/>
      <c r="B24" s="677"/>
      <c r="C24" s="679"/>
      <c r="D24" s="418" t="s">
        <v>267</v>
      </c>
      <c r="E24" s="42">
        <f>4-3</f>
        <v>1</v>
      </c>
      <c r="F24" s="236">
        <v>41399.1</v>
      </c>
      <c r="G24" s="9">
        <f t="shared" si="1"/>
        <v>41399.1</v>
      </c>
      <c r="H24" s="376" t="s">
        <v>82</v>
      </c>
      <c r="I24" s="21" t="s">
        <v>43</v>
      </c>
      <c r="J24" s="34">
        <v>0.46141203703703698</v>
      </c>
    </row>
    <row r="25" spans="1:10" s="1" customFormat="1" ht="29" customHeight="1" x14ac:dyDescent="0.35">
      <c r="A25" s="678"/>
      <c r="B25" s="678"/>
      <c r="C25" s="669"/>
      <c r="D25" s="189" t="s">
        <v>268</v>
      </c>
      <c r="E25" s="50">
        <f>5-2</f>
        <v>3</v>
      </c>
      <c r="F25" s="497">
        <v>246624.75</v>
      </c>
      <c r="G25" s="40">
        <f t="shared" si="1"/>
        <v>739874.25</v>
      </c>
      <c r="H25" s="383" t="s">
        <v>82</v>
      </c>
      <c r="I25" s="193"/>
      <c r="J25" s="309" t="s">
        <v>697</v>
      </c>
    </row>
    <row r="26" spans="1:10" s="11" customFormat="1" ht="19.25" customHeight="1" x14ac:dyDescent="0.35">
      <c r="A26" s="676">
        <v>10</v>
      </c>
      <c r="B26" s="676" t="s">
        <v>285</v>
      </c>
      <c r="C26" s="668">
        <v>0.84195601851851853</v>
      </c>
      <c r="D26" s="189" t="s">
        <v>271</v>
      </c>
      <c r="E26" s="42">
        <v>5</v>
      </c>
      <c r="F26" s="235">
        <v>133585.20000000001</v>
      </c>
      <c r="G26" s="9">
        <f t="shared" si="1"/>
        <v>667926</v>
      </c>
      <c r="H26" s="381" t="s">
        <v>82</v>
      </c>
      <c r="I26" s="21" t="s">
        <v>43</v>
      </c>
      <c r="J26" s="34">
        <v>0.46141203703703698</v>
      </c>
    </row>
    <row r="27" spans="1:10" s="11" customFormat="1" ht="19.25" customHeight="1" x14ac:dyDescent="0.35">
      <c r="A27" s="678"/>
      <c r="B27" s="678"/>
      <c r="C27" s="669"/>
      <c r="D27" s="189" t="s">
        <v>271</v>
      </c>
      <c r="E27" s="42">
        <v>5</v>
      </c>
      <c r="F27" s="235">
        <v>133585.20000000001</v>
      </c>
      <c r="G27" s="9">
        <f t="shared" si="1"/>
        <v>667926</v>
      </c>
      <c r="H27" s="381" t="s">
        <v>82</v>
      </c>
      <c r="I27" s="21" t="s">
        <v>43</v>
      </c>
      <c r="J27" s="34">
        <v>0.46141203703703698</v>
      </c>
    </row>
    <row r="28" spans="1:10" s="11" customFormat="1" ht="19.25" customHeight="1" x14ac:dyDescent="0.35">
      <c r="A28" s="20">
        <v>11</v>
      </c>
      <c r="B28" s="20" t="s">
        <v>312</v>
      </c>
      <c r="C28" s="153" t="s">
        <v>313</v>
      </c>
      <c r="D28" s="71" t="s">
        <v>291</v>
      </c>
      <c r="E28" s="42">
        <v>9</v>
      </c>
      <c r="F28" s="235">
        <v>4080</v>
      </c>
      <c r="G28" s="9">
        <f t="shared" si="1"/>
        <v>36720</v>
      </c>
      <c r="H28" s="381" t="s">
        <v>315</v>
      </c>
      <c r="I28" s="21" t="s">
        <v>66</v>
      </c>
      <c r="J28" s="34">
        <v>0.46141203703703698</v>
      </c>
    </row>
    <row r="29" spans="1:10" s="137" customFormat="1" ht="19.25" customHeight="1" x14ac:dyDescent="0.35">
      <c r="A29" s="676">
        <v>12</v>
      </c>
      <c r="B29" s="676" t="s">
        <v>314</v>
      </c>
      <c r="C29" s="676" t="s">
        <v>313</v>
      </c>
      <c r="D29" s="370" t="s">
        <v>310</v>
      </c>
      <c r="E29" s="371">
        <v>1</v>
      </c>
      <c r="F29" s="361">
        <v>20648.25</v>
      </c>
      <c r="G29" s="329">
        <f t="shared" si="1"/>
        <v>20648.25</v>
      </c>
      <c r="H29" s="382" t="s">
        <v>82</v>
      </c>
      <c r="I29" s="362" t="s">
        <v>43</v>
      </c>
      <c r="J29" s="363">
        <v>0.25307870370370372</v>
      </c>
    </row>
    <row r="30" spans="1:10" s="185" customFormat="1" ht="19.25" customHeight="1" x14ac:dyDescent="0.35">
      <c r="A30" s="677"/>
      <c r="B30" s="677"/>
      <c r="C30" s="677"/>
      <c r="D30" s="71" t="s">
        <v>302</v>
      </c>
      <c r="E30" s="183">
        <v>1</v>
      </c>
      <c r="F30" s="235">
        <v>3907.5</v>
      </c>
      <c r="G30" s="9">
        <f t="shared" si="1"/>
        <v>3907.5</v>
      </c>
      <c r="H30" s="381" t="s">
        <v>82</v>
      </c>
      <c r="I30" s="21" t="s">
        <v>43</v>
      </c>
      <c r="J30" s="34">
        <v>0.25307870370370372</v>
      </c>
    </row>
    <row r="31" spans="1:10" s="11" customFormat="1" ht="19.25" customHeight="1" x14ac:dyDescent="0.35">
      <c r="A31" s="186">
        <v>13</v>
      </c>
      <c r="B31" s="186" t="s">
        <v>350</v>
      </c>
      <c r="C31" s="305">
        <v>1.1336226851851852</v>
      </c>
      <c r="D31" s="71" t="s">
        <v>329</v>
      </c>
      <c r="E31" s="183">
        <v>2</v>
      </c>
      <c r="F31" s="235">
        <v>405389.7</v>
      </c>
      <c r="G31" s="9">
        <f t="shared" ref="G31:G40" si="2">F31*E31</f>
        <v>810779.4</v>
      </c>
      <c r="H31" s="381" t="s">
        <v>82</v>
      </c>
      <c r="I31" s="21" t="s">
        <v>43</v>
      </c>
      <c r="J31" s="34">
        <v>0.75307870370370367</v>
      </c>
    </row>
    <row r="32" spans="1:10" s="11" customFormat="1" ht="19.25" customHeight="1" x14ac:dyDescent="0.35">
      <c r="A32" s="20">
        <v>14</v>
      </c>
      <c r="B32" s="162" t="s">
        <v>351</v>
      </c>
      <c r="C32" s="162" t="s">
        <v>116</v>
      </c>
      <c r="D32" s="71" t="s">
        <v>340</v>
      </c>
      <c r="E32" s="183">
        <v>2</v>
      </c>
      <c r="F32" s="235">
        <v>163364.85</v>
      </c>
      <c r="G32" s="9">
        <f t="shared" si="2"/>
        <v>326729.7</v>
      </c>
      <c r="H32" s="381" t="s">
        <v>82</v>
      </c>
      <c r="I32" s="21" t="s">
        <v>43</v>
      </c>
      <c r="J32" s="34">
        <v>0.75307870370370367</v>
      </c>
    </row>
    <row r="33" spans="1:10" s="1" customFormat="1" x14ac:dyDescent="0.35">
      <c r="A33" s="41">
        <v>15</v>
      </c>
      <c r="B33" s="597" t="s">
        <v>347</v>
      </c>
      <c r="C33" s="598">
        <v>1.1336226851851852</v>
      </c>
      <c r="D33" s="191" t="s">
        <v>327</v>
      </c>
      <c r="E33" s="192">
        <f>2-1</f>
        <v>1</v>
      </c>
      <c r="F33" s="497">
        <v>15937.2</v>
      </c>
      <c r="G33" s="40">
        <f t="shared" si="2"/>
        <v>15937.2</v>
      </c>
      <c r="H33" s="383" t="s">
        <v>82</v>
      </c>
      <c r="I33" s="21" t="s">
        <v>43</v>
      </c>
      <c r="J33" s="34">
        <v>0.75307870370370367</v>
      </c>
    </row>
    <row r="34" spans="1:10" s="137" customFormat="1" ht="19.25" customHeight="1" x14ac:dyDescent="0.35">
      <c r="A34" s="682">
        <v>16</v>
      </c>
      <c r="B34" s="682" t="s">
        <v>346</v>
      </c>
      <c r="C34" s="684">
        <v>1.1336226851851852</v>
      </c>
      <c r="D34" s="370" t="s">
        <v>343</v>
      </c>
      <c r="E34" s="371">
        <v>2</v>
      </c>
      <c r="F34" s="361">
        <v>393547.95</v>
      </c>
      <c r="G34" s="329">
        <f t="shared" si="2"/>
        <v>787095.9</v>
      </c>
      <c r="H34" s="382" t="s">
        <v>82</v>
      </c>
      <c r="I34" s="362" t="s">
        <v>43</v>
      </c>
      <c r="J34" s="363">
        <v>0.75307870370370367</v>
      </c>
    </row>
    <row r="35" spans="1:10" s="1" customFormat="1" ht="19.25" customHeight="1" x14ac:dyDescent="0.35">
      <c r="A35" s="683"/>
      <c r="B35" s="683"/>
      <c r="C35" s="683"/>
      <c r="D35" s="191" t="s">
        <v>345</v>
      </c>
      <c r="E35" s="192">
        <v>2</v>
      </c>
      <c r="F35" s="235">
        <v>575551.80000000005</v>
      </c>
      <c r="G35" s="40">
        <f t="shared" si="2"/>
        <v>1151103.6000000001</v>
      </c>
      <c r="H35" s="383" t="s">
        <v>82</v>
      </c>
      <c r="I35" s="193" t="s">
        <v>43</v>
      </c>
      <c r="J35" s="34">
        <v>0.75307870370370367</v>
      </c>
    </row>
    <row r="36" spans="1:10" s="225" customFormat="1" ht="19.25" customHeight="1" x14ac:dyDescent="0.35">
      <c r="A36" s="641">
        <v>17</v>
      </c>
      <c r="B36" s="642" t="s">
        <v>370</v>
      </c>
      <c r="C36" s="643">
        <v>1.2586226851851852</v>
      </c>
      <c r="D36" s="415" t="s">
        <v>371</v>
      </c>
      <c r="E36" s="474">
        <v>4</v>
      </c>
      <c r="F36" s="475">
        <v>4087.5</v>
      </c>
      <c r="G36" s="224">
        <f t="shared" si="2"/>
        <v>16350</v>
      </c>
      <c r="H36" s="473" t="s">
        <v>476</v>
      </c>
      <c r="I36" s="476" t="s">
        <v>43</v>
      </c>
      <c r="J36" s="477">
        <v>0.75307870370370367</v>
      </c>
    </row>
    <row r="37" spans="1:10" s="11" customFormat="1" ht="19.25" customHeight="1" x14ac:dyDescent="0.35">
      <c r="A37" s="20">
        <v>18</v>
      </c>
      <c r="B37" s="20" t="s">
        <v>425</v>
      </c>
      <c r="C37" s="103">
        <v>0.58432870370370371</v>
      </c>
      <c r="D37" s="71" t="s">
        <v>423</v>
      </c>
      <c r="E37" s="183">
        <f>2-1</f>
        <v>1</v>
      </c>
      <c r="F37" s="419">
        <v>164519.1</v>
      </c>
      <c r="G37" s="9">
        <f t="shared" si="2"/>
        <v>164519.1</v>
      </c>
      <c r="H37" s="381" t="s">
        <v>424</v>
      </c>
      <c r="I37" s="21" t="s">
        <v>43</v>
      </c>
      <c r="J37" s="34">
        <v>0.25377314814814816</v>
      </c>
    </row>
    <row r="38" spans="1:10" s="11" customFormat="1" ht="19.25" customHeight="1" x14ac:dyDescent="0.35">
      <c r="A38" s="20">
        <v>19</v>
      </c>
      <c r="B38" s="20" t="s">
        <v>432</v>
      </c>
      <c r="C38" s="103">
        <v>0.66766203703703697</v>
      </c>
      <c r="D38" s="71" t="s">
        <v>431</v>
      </c>
      <c r="E38" s="183">
        <v>2</v>
      </c>
      <c r="F38" s="236">
        <v>593314.44999999995</v>
      </c>
      <c r="G38" s="9">
        <f t="shared" si="2"/>
        <v>1186628.8999999999</v>
      </c>
      <c r="H38" s="381" t="s">
        <v>433</v>
      </c>
      <c r="I38" s="21" t="s">
        <v>43</v>
      </c>
      <c r="J38" s="34">
        <v>0.33710648148148148</v>
      </c>
    </row>
    <row r="39" spans="1:10" s="1" customFormat="1" ht="19.25" customHeight="1" x14ac:dyDescent="0.35">
      <c r="A39" s="41">
        <v>20</v>
      </c>
      <c r="B39" s="307" t="s">
        <v>467</v>
      </c>
      <c r="C39" s="308" t="s">
        <v>465</v>
      </c>
      <c r="D39" s="191" t="s">
        <v>466</v>
      </c>
      <c r="E39" s="192">
        <v>2</v>
      </c>
      <c r="F39" s="235">
        <v>154755</v>
      </c>
      <c r="G39" s="40">
        <f>F39*E39</f>
        <v>309510</v>
      </c>
      <c r="H39" s="383" t="s">
        <v>28</v>
      </c>
      <c r="I39" s="193" t="s">
        <v>43</v>
      </c>
      <c r="J39" s="309">
        <v>0.79543981481481485</v>
      </c>
    </row>
    <row r="40" spans="1:10" s="137" customFormat="1" ht="19.25" customHeight="1" x14ac:dyDescent="0.35">
      <c r="A40" s="217">
        <v>20</v>
      </c>
      <c r="B40" s="396" t="s">
        <v>474</v>
      </c>
      <c r="C40" s="484" t="s">
        <v>158</v>
      </c>
      <c r="D40" s="370" t="s">
        <v>1202</v>
      </c>
      <c r="E40" s="371">
        <v>1</v>
      </c>
      <c r="F40" s="361">
        <v>111757.05</v>
      </c>
      <c r="G40" s="329">
        <f t="shared" si="2"/>
        <v>111757.05</v>
      </c>
      <c r="H40" s="382" t="s">
        <v>28</v>
      </c>
      <c r="I40" s="362" t="s">
        <v>43</v>
      </c>
      <c r="J40" s="363">
        <v>0.79543981481481485</v>
      </c>
    </row>
    <row r="41" spans="1:10" s="1" customFormat="1" ht="19.25" customHeight="1" x14ac:dyDescent="0.35">
      <c r="A41" s="41">
        <v>21</v>
      </c>
      <c r="B41" s="307" t="s">
        <v>607</v>
      </c>
      <c r="C41" s="153">
        <v>0.25168981481481484</v>
      </c>
      <c r="D41" s="191" t="s">
        <v>605</v>
      </c>
      <c r="E41" s="192">
        <v>2</v>
      </c>
      <c r="F41" s="235">
        <v>60799.05</v>
      </c>
      <c r="G41" s="40">
        <f t="shared" ref="G41:G58" si="3">F41*E41</f>
        <v>121598.1</v>
      </c>
      <c r="H41" s="381" t="s">
        <v>396</v>
      </c>
      <c r="I41" s="193" t="s">
        <v>43</v>
      </c>
      <c r="J41" s="309" t="s">
        <v>442</v>
      </c>
    </row>
    <row r="42" spans="1:10" s="619" customFormat="1" ht="19.25" customHeight="1" x14ac:dyDescent="0.35">
      <c r="A42" s="609">
        <v>22</v>
      </c>
      <c r="B42" s="610" t="s">
        <v>610</v>
      </c>
      <c r="C42" s="611">
        <v>0.29335648148148147</v>
      </c>
      <c r="D42" s="612" t="s">
        <v>609</v>
      </c>
      <c r="E42" s="613">
        <f>2-1</f>
        <v>1</v>
      </c>
      <c r="F42" s="614">
        <v>705366.45</v>
      </c>
      <c r="G42" s="615">
        <f t="shared" si="3"/>
        <v>705366.45</v>
      </c>
      <c r="H42" s="616" t="s">
        <v>28</v>
      </c>
      <c r="I42" s="617" t="s">
        <v>146</v>
      </c>
      <c r="J42" s="618"/>
    </row>
    <row r="43" spans="1:10" s="11" customFormat="1" ht="19.25" customHeight="1" x14ac:dyDescent="0.35">
      <c r="A43" s="676">
        <v>23</v>
      </c>
      <c r="B43" s="680" t="s">
        <v>645</v>
      </c>
      <c r="C43" s="668">
        <v>0.58502314814814815</v>
      </c>
      <c r="D43" s="71" t="s">
        <v>641</v>
      </c>
      <c r="E43" s="183">
        <v>1</v>
      </c>
      <c r="F43" s="236">
        <v>62825.4</v>
      </c>
      <c r="G43" s="9">
        <f t="shared" si="3"/>
        <v>62825.4</v>
      </c>
      <c r="H43" s="381" t="s">
        <v>396</v>
      </c>
      <c r="I43" s="356" t="s">
        <v>43</v>
      </c>
      <c r="J43" s="309">
        <v>0.25446759259259261</v>
      </c>
    </row>
    <row r="44" spans="1:10" s="11" customFormat="1" ht="19.25" customHeight="1" x14ac:dyDescent="0.35">
      <c r="A44" s="678"/>
      <c r="B44" s="681"/>
      <c r="C44" s="669"/>
      <c r="D44" s="71" t="s">
        <v>642</v>
      </c>
      <c r="E44" s="183">
        <v>1</v>
      </c>
      <c r="F44" s="236">
        <v>39989.4</v>
      </c>
      <c r="G44" s="9">
        <f t="shared" si="3"/>
        <v>39989.4</v>
      </c>
      <c r="H44" s="381" t="s">
        <v>396</v>
      </c>
      <c r="I44" s="357"/>
      <c r="J44" s="309">
        <v>0.25446759259259261</v>
      </c>
    </row>
    <row r="45" spans="1:10" s="11" customFormat="1" ht="19.25" customHeight="1" x14ac:dyDescent="0.35">
      <c r="A45" s="20">
        <v>24</v>
      </c>
      <c r="B45" s="102" t="s">
        <v>658</v>
      </c>
      <c r="C45" s="153">
        <v>0.71002314814814815</v>
      </c>
      <c r="D45" s="71" t="s">
        <v>659</v>
      </c>
      <c r="E45" s="183">
        <v>4</v>
      </c>
      <c r="F45" s="236">
        <v>40458.6</v>
      </c>
      <c r="G45" s="9">
        <f t="shared" si="3"/>
        <v>161834.4</v>
      </c>
      <c r="H45" s="381" t="s">
        <v>660</v>
      </c>
      <c r="I45" s="21" t="s">
        <v>43</v>
      </c>
      <c r="J45" s="309">
        <v>0.37946759259259261</v>
      </c>
    </row>
    <row r="46" spans="1:10" s="11" customFormat="1" ht="19.25" customHeight="1" x14ac:dyDescent="0.35">
      <c r="A46" s="20">
        <v>25</v>
      </c>
      <c r="B46" s="102" t="s">
        <v>693</v>
      </c>
      <c r="C46" s="153">
        <v>0.83502314814814815</v>
      </c>
      <c r="D46" s="71" t="s">
        <v>694</v>
      </c>
      <c r="E46" s="183">
        <v>2</v>
      </c>
      <c r="F46" s="236">
        <v>151822.35</v>
      </c>
      <c r="G46" s="9">
        <f t="shared" si="3"/>
        <v>303644.7</v>
      </c>
      <c r="H46" s="381" t="s">
        <v>695</v>
      </c>
      <c r="I46" s="21" t="s">
        <v>43</v>
      </c>
      <c r="J46" s="309">
        <v>0.50446759259259266</v>
      </c>
    </row>
    <row r="47" spans="1:10" s="11" customFormat="1" ht="29" x14ac:dyDescent="0.35">
      <c r="A47" s="676">
        <v>26</v>
      </c>
      <c r="B47" s="680" t="s">
        <v>706</v>
      </c>
      <c r="C47" s="668">
        <v>0.87668981481481489</v>
      </c>
      <c r="D47" s="71" t="s">
        <v>707</v>
      </c>
      <c r="E47" s="183">
        <v>3</v>
      </c>
      <c r="F47" s="236">
        <v>37089.9</v>
      </c>
      <c r="G47" s="9">
        <f t="shared" si="3"/>
        <v>111269.70000000001</v>
      </c>
      <c r="H47" s="381" t="s">
        <v>660</v>
      </c>
      <c r="I47" s="21" t="s">
        <v>43</v>
      </c>
      <c r="J47" s="309">
        <v>0.54613425925925929</v>
      </c>
    </row>
    <row r="48" spans="1:10" s="11" customFormat="1" ht="19.25" customHeight="1" x14ac:dyDescent="0.35">
      <c r="A48" s="678"/>
      <c r="B48" s="681"/>
      <c r="C48" s="669"/>
      <c r="D48" s="71" t="s">
        <v>708</v>
      </c>
      <c r="E48" s="183">
        <v>3</v>
      </c>
      <c r="F48" s="236">
        <v>90296.55</v>
      </c>
      <c r="G48" s="9">
        <f t="shared" si="3"/>
        <v>270889.65000000002</v>
      </c>
      <c r="H48" s="381" t="s">
        <v>660</v>
      </c>
      <c r="I48" s="21" t="s">
        <v>43</v>
      </c>
      <c r="J48" s="309">
        <v>0.54613425925925929</v>
      </c>
    </row>
    <row r="49" spans="1:10" s="11" customFormat="1" ht="19.25" customHeight="1" x14ac:dyDescent="0.35">
      <c r="A49" s="20">
        <v>27</v>
      </c>
      <c r="B49" s="102" t="s">
        <v>751</v>
      </c>
      <c r="C49" s="153">
        <v>0.12738425925925925</v>
      </c>
      <c r="D49" s="71" t="s">
        <v>749</v>
      </c>
      <c r="E49" s="183">
        <v>1</v>
      </c>
      <c r="F49" s="236">
        <v>345274.65</v>
      </c>
      <c r="G49" s="9">
        <f t="shared" si="3"/>
        <v>345274.65</v>
      </c>
      <c r="H49" s="381" t="s">
        <v>744</v>
      </c>
      <c r="I49" s="21" t="s">
        <v>43</v>
      </c>
      <c r="J49" s="309">
        <v>0.96280092592592592</v>
      </c>
    </row>
    <row r="50" spans="1:10" s="11" customFormat="1" ht="29.4" customHeight="1" x14ac:dyDescent="0.35">
      <c r="A50" s="20">
        <v>28</v>
      </c>
      <c r="B50" s="102" t="s">
        <v>801</v>
      </c>
      <c r="C50" s="153">
        <v>0.50238425925925922</v>
      </c>
      <c r="D50" s="71" t="s">
        <v>800</v>
      </c>
      <c r="E50" s="183">
        <v>8</v>
      </c>
      <c r="F50" s="236">
        <v>13766.5</v>
      </c>
      <c r="G50" s="9">
        <f t="shared" si="3"/>
        <v>110132</v>
      </c>
      <c r="H50" s="381" t="s">
        <v>480</v>
      </c>
      <c r="I50" s="21" t="s">
        <v>43</v>
      </c>
      <c r="J50" s="309">
        <v>8.8495370370370363E-2</v>
      </c>
    </row>
    <row r="51" spans="1:10" s="1" customFormat="1" ht="19.25" customHeight="1" x14ac:dyDescent="0.35">
      <c r="A51" s="41">
        <v>29</v>
      </c>
      <c r="B51" s="307" t="s">
        <v>843</v>
      </c>
      <c r="C51" s="153">
        <v>0.5857175925925926</v>
      </c>
      <c r="D51" s="493" t="s">
        <v>844</v>
      </c>
      <c r="E51" s="494">
        <v>1</v>
      </c>
      <c r="F51" s="497">
        <v>4950</v>
      </c>
      <c r="G51" s="40">
        <f t="shared" si="3"/>
        <v>4950</v>
      </c>
      <c r="H51" s="381" t="s">
        <v>496</v>
      </c>
      <c r="I51" s="193" t="s">
        <v>43</v>
      </c>
      <c r="J51" s="309">
        <v>0.13016203703703702</v>
      </c>
    </row>
    <row r="52" spans="1:10" s="492" customFormat="1" ht="19.25" customHeight="1" x14ac:dyDescent="0.35">
      <c r="A52" s="489"/>
      <c r="B52" s="490"/>
      <c r="C52" s="491"/>
      <c r="D52" s="493" t="s">
        <v>845</v>
      </c>
      <c r="E52" s="494">
        <v>1</v>
      </c>
      <c r="F52" s="498">
        <v>4282.5</v>
      </c>
      <c r="G52" s="499">
        <f t="shared" si="3"/>
        <v>4282.5</v>
      </c>
      <c r="H52" s="381" t="s">
        <v>496</v>
      </c>
      <c r="I52" s="193" t="s">
        <v>43</v>
      </c>
      <c r="J52" s="309">
        <v>0.13016203703703702</v>
      </c>
    </row>
    <row r="53" spans="1:10" s="11" customFormat="1" ht="19.25" customHeight="1" x14ac:dyDescent="0.35">
      <c r="A53" s="20"/>
      <c r="B53" s="102"/>
      <c r="C53" s="153"/>
      <c r="D53" s="493" t="s">
        <v>846</v>
      </c>
      <c r="E53" s="494">
        <v>1</v>
      </c>
      <c r="F53" s="419">
        <v>188912.25</v>
      </c>
      <c r="G53" s="9">
        <f t="shared" si="3"/>
        <v>188912.25</v>
      </c>
      <c r="H53" s="381" t="s">
        <v>496</v>
      </c>
      <c r="I53" s="193" t="s">
        <v>43</v>
      </c>
      <c r="J53" s="309">
        <v>0.13016203703703702</v>
      </c>
    </row>
    <row r="54" spans="1:10" s="11" customFormat="1" ht="19.25" customHeight="1" x14ac:dyDescent="0.35">
      <c r="A54" s="676"/>
      <c r="B54" s="680"/>
      <c r="C54" s="668"/>
      <c r="D54" s="493" t="s">
        <v>847</v>
      </c>
      <c r="E54" s="494">
        <v>1</v>
      </c>
      <c r="F54" s="419">
        <v>1072.5</v>
      </c>
      <c r="G54" s="9">
        <f t="shared" si="3"/>
        <v>1072.5</v>
      </c>
      <c r="H54" s="381" t="s">
        <v>496</v>
      </c>
      <c r="I54" s="193" t="s">
        <v>43</v>
      </c>
      <c r="J54" s="309">
        <v>0.13016203703703702</v>
      </c>
    </row>
    <row r="55" spans="1:10" s="11" customFormat="1" ht="19.25" customHeight="1" x14ac:dyDescent="0.35">
      <c r="A55" s="678"/>
      <c r="B55" s="681"/>
      <c r="C55" s="669"/>
      <c r="D55" s="493" t="s">
        <v>848</v>
      </c>
      <c r="E55" s="494">
        <v>1</v>
      </c>
      <c r="F55" s="236">
        <v>4950</v>
      </c>
      <c r="G55" s="9">
        <f t="shared" si="3"/>
        <v>4950</v>
      </c>
      <c r="H55" s="381" t="s">
        <v>496</v>
      </c>
      <c r="I55" s="193" t="s">
        <v>43</v>
      </c>
      <c r="J55" s="309">
        <v>0.13016203703703702</v>
      </c>
    </row>
    <row r="56" spans="1:10" s="11" customFormat="1" ht="19.25" customHeight="1" x14ac:dyDescent="0.35">
      <c r="A56" s="20"/>
      <c r="B56" s="102"/>
      <c r="C56" s="153"/>
      <c r="D56" s="493" t="s">
        <v>849</v>
      </c>
      <c r="E56" s="494">
        <v>1</v>
      </c>
      <c r="F56" s="236">
        <v>217930.95</v>
      </c>
      <c r="G56" s="9">
        <f t="shared" si="3"/>
        <v>217930.95</v>
      </c>
      <c r="H56" s="381" t="s">
        <v>496</v>
      </c>
      <c r="I56" s="193" t="s">
        <v>43</v>
      </c>
      <c r="J56" s="309">
        <v>0.13016203703703702</v>
      </c>
    </row>
    <row r="57" spans="1:10" s="11" customFormat="1" ht="30" customHeight="1" x14ac:dyDescent="0.35">
      <c r="A57" s="20"/>
      <c r="B57" s="102"/>
      <c r="C57" s="153"/>
      <c r="D57" s="493" t="s">
        <v>850</v>
      </c>
      <c r="E57" s="494">
        <v>1</v>
      </c>
      <c r="F57" s="236">
        <v>520</v>
      </c>
      <c r="G57" s="9">
        <f t="shared" si="3"/>
        <v>520</v>
      </c>
      <c r="H57" s="381" t="s">
        <v>496</v>
      </c>
      <c r="I57" s="193" t="s">
        <v>43</v>
      </c>
      <c r="J57" s="309">
        <v>0.13016203703703702</v>
      </c>
    </row>
    <row r="58" spans="1:10" s="11" customFormat="1" ht="14" customHeight="1" x14ac:dyDescent="0.35">
      <c r="A58" s="20"/>
      <c r="B58" s="500"/>
      <c r="C58" s="501"/>
      <c r="D58" s="493" t="s">
        <v>851</v>
      </c>
      <c r="E58" s="494">
        <v>1</v>
      </c>
      <c r="F58" s="236">
        <v>42031.8</v>
      </c>
      <c r="G58" s="9">
        <f t="shared" si="3"/>
        <v>42031.8</v>
      </c>
      <c r="H58" s="381" t="s">
        <v>496</v>
      </c>
      <c r="I58" s="193" t="s">
        <v>43</v>
      </c>
      <c r="J58" s="309">
        <v>0.13016203703703702</v>
      </c>
    </row>
    <row r="59" spans="1:10" s="11" customFormat="1" ht="19.25" customHeight="1" x14ac:dyDescent="0.35">
      <c r="A59" s="20"/>
      <c r="B59" s="500"/>
      <c r="C59" s="501"/>
      <c r="D59" s="493" t="s">
        <v>852</v>
      </c>
      <c r="E59" s="494">
        <v>2</v>
      </c>
      <c r="F59" s="236">
        <v>8190.9</v>
      </c>
      <c r="G59" s="9">
        <f t="shared" ref="G59:G83" si="4">F59*E59</f>
        <v>16381.8</v>
      </c>
      <c r="H59" s="381" t="s">
        <v>496</v>
      </c>
      <c r="I59" s="193" t="s">
        <v>43</v>
      </c>
      <c r="J59" s="309">
        <v>0.13016203703703702</v>
      </c>
    </row>
    <row r="60" spans="1:10" s="11" customFormat="1" ht="19.25" customHeight="1" x14ac:dyDescent="0.35">
      <c r="A60" s="20"/>
      <c r="B60" s="102"/>
      <c r="C60" s="153"/>
      <c r="D60" s="493" t="s">
        <v>853</v>
      </c>
      <c r="E60" s="494">
        <v>2</v>
      </c>
      <c r="F60" s="236">
        <v>3685.05</v>
      </c>
      <c r="G60" s="9">
        <f t="shared" si="4"/>
        <v>7370.1</v>
      </c>
      <c r="H60" s="381" t="s">
        <v>496</v>
      </c>
      <c r="I60" s="193" t="s">
        <v>43</v>
      </c>
      <c r="J60" s="309">
        <v>0.13016203703703702</v>
      </c>
    </row>
    <row r="61" spans="1:10" s="11" customFormat="1" ht="19.25" customHeight="1" x14ac:dyDescent="0.35">
      <c r="A61" s="20"/>
      <c r="B61" s="102"/>
      <c r="C61" s="153"/>
      <c r="D61" s="493" t="s">
        <v>854</v>
      </c>
      <c r="E61" s="494">
        <v>1</v>
      </c>
      <c r="F61" s="236">
        <v>107054.55</v>
      </c>
      <c r="G61" s="9">
        <f t="shared" si="4"/>
        <v>107054.55</v>
      </c>
      <c r="H61" s="381" t="s">
        <v>496</v>
      </c>
      <c r="I61" s="193" t="s">
        <v>43</v>
      </c>
      <c r="J61" s="309">
        <v>0.13016203703703702</v>
      </c>
    </row>
    <row r="62" spans="1:10" s="593" customFormat="1" ht="19.25" customHeight="1" x14ac:dyDescent="0.35">
      <c r="A62" s="381">
        <v>30</v>
      </c>
      <c r="B62" s="588" t="s">
        <v>890</v>
      </c>
      <c r="C62" s="589">
        <v>0.7107175925925926</v>
      </c>
      <c r="D62" s="493" t="s">
        <v>889</v>
      </c>
      <c r="E62" s="494">
        <v>1</v>
      </c>
      <c r="F62" s="236">
        <v>1055215.5</v>
      </c>
      <c r="G62" s="590">
        <f t="shared" si="4"/>
        <v>1055215.5</v>
      </c>
      <c r="H62" s="381" t="s">
        <v>655</v>
      </c>
      <c r="I62" s="591" t="s">
        <v>43</v>
      </c>
      <c r="J62" s="592">
        <v>0.29682870370370368</v>
      </c>
    </row>
    <row r="63" spans="1:10" s="593" customFormat="1" ht="14" customHeight="1" x14ac:dyDescent="0.35">
      <c r="A63" s="381">
        <v>31</v>
      </c>
      <c r="B63" s="594" t="s">
        <v>906</v>
      </c>
      <c r="C63" s="589">
        <v>0.75238425925925922</v>
      </c>
      <c r="D63" s="493" t="s">
        <v>907</v>
      </c>
      <c r="E63" s="494">
        <v>80</v>
      </c>
      <c r="F63" s="236">
        <v>7257</v>
      </c>
      <c r="G63" s="590">
        <f t="shared" si="4"/>
        <v>580560</v>
      </c>
      <c r="H63" s="381" t="s">
        <v>655</v>
      </c>
      <c r="I63" s="591" t="s">
        <v>43</v>
      </c>
      <c r="J63" s="592">
        <v>0.33849537037037036</v>
      </c>
    </row>
    <row r="64" spans="1:10" s="593" customFormat="1" ht="19.25" customHeight="1" x14ac:dyDescent="0.35">
      <c r="A64" s="381">
        <v>32</v>
      </c>
      <c r="B64" s="594" t="s">
        <v>908</v>
      </c>
      <c r="C64" s="589">
        <v>0.75238425925925922</v>
      </c>
      <c r="D64" s="493" t="s">
        <v>912</v>
      </c>
      <c r="E64" s="494">
        <v>1</v>
      </c>
      <c r="F64" s="236">
        <v>22700.25</v>
      </c>
      <c r="G64" s="590">
        <f t="shared" si="4"/>
        <v>22700.25</v>
      </c>
      <c r="H64" s="381" t="s">
        <v>480</v>
      </c>
      <c r="I64" s="591" t="s">
        <v>43</v>
      </c>
      <c r="J64" s="592">
        <v>0.33849537037037036</v>
      </c>
    </row>
    <row r="65" spans="1:10" s="593" customFormat="1" ht="19.25" customHeight="1" x14ac:dyDescent="0.35">
      <c r="A65" s="381"/>
      <c r="B65" s="588"/>
      <c r="C65" s="589"/>
      <c r="D65" s="493" t="s">
        <v>910</v>
      </c>
      <c r="E65" s="494">
        <v>1</v>
      </c>
      <c r="F65" s="236">
        <v>53865</v>
      </c>
      <c r="G65" s="590">
        <f t="shared" si="4"/>
        <v>53865</v>
      </c>
      <c r="H65" s="381" t="s">
        <v>480</v>
      </c>
      <c r="I65" s="591" t="s">
        <v>43</v>
      </c>
      <c r="J65" s="592">
        <v>0.33849537037037036</v>
      </c>
    </row>
    <row r="66" spans="1:10" s="593" customFormat="1" ht="19.25" customHeight="1" x14ac:dyDescent="0.35">
      <c r="A66" s="381"/>
      <c r="B66" s="588"/>
      <c r="C66" s="589"/>
      <c r="D66" s="493" t="s">
        <v>911</v>
      </c>
      <c r="E66" s="494">
        <v>1</v>
      </c>
      <c r="F66" s="236">
        <v>81943.199999999997</v>
      </c>
      <c r="G66" s="590">
        <f t="shared" si="4"/>
        <v>81943.199999999997</v>
      </c>
      <c r="H66" s="381" t="s">
        <v>480</v>
      </c>
      <c r="I66" s="591" t="s">
        <v>43</v>
      </c>
      <c r="J66" s="592">
        <v>0.33849537037037036</v>
      </c>
    </row>
    <row r="67" spans="1:10" s="593" customFormat="1" ht="19.25" customHeight="1" x14ac:dyDescent="0.35">
      <c r="A67" s="381"/>
      <c r="B67" s="588"/>
      <c r="C67" s="589"/>
      <c r="D67" s="493" t="s">
        <v>909</v>
      </c>
      <c r="E67" s="494">
        <v>1</v>
      </c>
      <c r="F67" s="236">
        <v>178455.6</v>
      </c>
      <c r="G67" s="590">
        <f t="shared" si="4"/>
        <v>178455.6</v>
      </c>
      <c r="H67" s="381" t="s">
        <v>480</v>
      </c>
      <c r="I67" s="591" t="s">
        <v>43</v>
      </c>
      <c r="J67" s="592">
        <v>0.33849537037037036</v>
      </c>
    </row>
    <row r="68" spans="1:10" s="593" customFormat="1" ht="19.25" customHeight="1" x14ac:dyDescent="0.35">
      <c r="A68" s="381">
        <v>33</v>
      </c>
      <c r="B68" s="588" t="s">
        <v>924</v>
      </c>
      <c r="C68" s="589">
        <v>0.8357175925925926</v>
      </c>
      <c r="D68" s="493" t="s">
        <v>931</v>
      </c>
      <c r="E68" s="494">
        <v>1</v>
      </c>
      <c r="F68" s="236">
        <v>71059.05</v>
      </c>
      <c r="G68" s="590">
        <f t="shared" si="4"/>
        <v>71059.05</v>
      </c>
      <c r="H68" s="381" t="s">
        <v>38</v>
      </c>
      <c r="I68" s="591" t="s">
        <v>43</v>
      </c>
      <c r="J68" s="592">
        <v>0.42182870370370368</v>
      </c>
    </row>
    <row r="69" spans="1:10" s="593" customFormat="1" ht="19.25" customHeight="1" x14ac:dyDescent="0.35">
      <c r="A69" s="381">
        <v>34</v>
      </c>
      <c r="B69" s="588" t="s">
        <v>947</v>
      </c>
      <c r="C69" s="589">
        <v>0.9607175925925926</v>
      </c>
      <c r="D69" s="493" t="s">
        <v>948</v>
      </c>
      <c r="E69" s="494">
        <v>1</v>
      </c>
      <c r="F69" s="236">
        <v>1099837.8</v>
      </c>
      <c r="G69" s="590">
        <f t="shared" si="4"/>
        <v>1099837.8</v>
      </c>
      <c r="H69" s="381" t="s">
        <v>420</v>
      </c>
      <c r="I69" s="591" t="s">
        <v>43</v>
      </c>
      <c r="J69" s="592">
        <v>0.54682870370370373</v>
      </c>
    </row>
    <row r="70" spans="1:10" s="593" customFormat="1" ht="19.25" customHeight="1" x14ac:dyDescent="0.35">
      <c r="A70" s="381">
        <v>35</v>
      </c>
      <c r="B70" s="588" t="s">
        <v>1067</v>
      </c>
      <c r="C70" s="589" t="s">
        <v>181</v>
      </c>
      <c r="D70" s="493" t="s">
        <v>1069</v>
      </c>
      <c r="E70" s="494">
        <v>2</v>
      </c>
      <c r="F70" s="236">
        <v>1497404.25</v>
      </c>
      <c r="G70" s="590">
        <f t="shared" si="4"/>
        <v>2994808.5</v>
      </c>
      <c r="H70" s="381" t="s">
        <v>420</v>
      </c>
      <c r="I70" s="591" t="s">
        <v>43</v>
      </c>
      <c r="J70" s="592">
        <v>0.88016203703703699</v>
      </c>
    </row>
    <row r="71" spans="1:10" s="593" customFormat="1" ht="19.25" customHeight="1" x14ac:dyDescent="0.35">
      <c r="A71" s="381">
        <v>36</v>
      </c>
      <c r="B71" s="588" t="s">
        <v>1008</v>
      </c>
      <c r="C71" s="589" t="s">
        <v>181</v>
      </c>
      <c r="D71" s="493" t="s">
        <v>371</v>
      </c>
      <c r="E71" s="494">
        <v>2</v>
      </c>
      <c r="F71" s="236">
        <v>4690.3999999999996</v>
      </c>
      <c r="G71" s="590">
        <f t="shared" si="4"/>
        <v>9380.7999999999993</v>
      </c>
      <c r="H71" s="381" t="s">
        <v>38</v>
      </c>
      <c r="I71" s="591" t="s">
        <v>1068</v>
      </c>
      <c r="J71" s="592">
        <v>0.88016203703703699</v>
      </c>
    </row>
    <row r="72" spans="1:10" s="593" customFormat="1" ht="21.65" customHeight="1" x14ac:dyDescent="0.35">
      <c r="A72" s="381">
        <v>37</v>
      </c>
      <c r="B72" s="595" t="s">
        <v>1164</v>
      </c>
      <c r="C72" s="596">
        <v>8.6412037037037037E-2</v>
      </c>
      <c r="D72" s="600" t="s">
        <v>1046</v>
      </c>
      <c r="E72" s="601">
        <v>1</v>
      </c>
      <c r="F72" s="236">
        <v>102121.2</v>
      </c>
      <c r="G72" s="590">
        <f t="shared" si="4"/>
        <v>102121.2</v>
      </c>
      <c r="H72" s="381" t="s">
        <v>496</v>
      </c>
      <c r="I72" s="376" t="s">
        <v>43</v>
      </c>
      <c r="J72" s="602">
        <v>0.96418981481481481</v>
      </c>
    </row>
    <row r="73" spans="1:10" s="593" customFormat="1" ht="19.25" customHeight="1" x14ac:dyDescent="0.35">
      <c r="A73" s="381"/>
      <c r="B73" s="588"/>
      <c r="C73" s="589"/>
      <c r="D73" s="600" t="s">
        <v>1048</v>
      </c>
      <c r="E73" s="601">
        <v>1</v>
      </c>
      <c r="F73" s="236">
        <v>15825</v>
      </c>
      <c r="G73" s="590">
        <f t="shared" si="4"/>
        <v>15825</v>
      </c>
      <c r="H73" s="381" t="s">
        <v>496</v>
      </c>
      <c r="I73" s="376" t="s">
        <v>43</v>
      </c>
      <c r="J73" s="602">
        <v>0.96418981481481481</v>
      </c>
    </row>
    <row r="74" spans="1:10" s="593" customFormat="1" ht="19.25" customHeight="1" x14ac:dyDescent="0.35">
      <c r="A74" s="381"/>
      <c r="B74" s="588"/>
      <c r="C74" s="589"/>
      <c r="D74" s="600" t="s">
        <v>1050</v>
      </c>
      <c r="E74" s="601">
        <v>1</v>
      </c>
      <c r="F74" s="236">
        <v>6397.5</v>
      </c>
      <c r="G74" s="590">
        <f t="shared" si="4"/>
        <v>6397.5</v>
      </c>
      <c r="H74" s="381" t="s">
        <v>496</v>
      </c>
      <c r="I74" s="376" t="s">
        <v>43</v>
      </c>
      <c r="J74" s="602">
        <v>0.96418981481481481</v>
      </c>
    </row>
    <row r="75" spans="1:10" s="593" customFormat="1" ht="19.25" customHeight="1" x14ac:dyDescent="0.35">
      <c r="A75" s="381"/>
      <c r="B75" s="588"/>
      <c r="C75" s="589"/>
      <c r="D75" s="600" t="s">
        <v>1052</v>
      </c>
      <c r="E75" s="601">
        <v>1</v>
      </c>
      <c r="F75" s="236">
        <v>3952.5</v>
      </c>
      <c r="G75" s="590">
        <f t="shared" si="4"/>
        <v>3952.5</v>
      </c>
      <c r="H75" s="381" t="s">
        <v>496</v>
      </c>
      <c r="I75" s="376" t="s">
        <v>43</v>
      </c>
      <c r="J75" s="602">
        <v>0.96418981481481481</v>
      </c>
    </row>
    <row r="76" spans="1:10" s="593" customFormat="1" ht="14" customHeight="1" x14ac:dyDescent="0.35">
      <c r="A76" s="381"/>
      <c r="B76" s="594"/>
      <c r="C76" s="589"/>
      <c r="D76" s="600" t="s">
        <v>1054</v>
      </c>
      <c r="E76" s="601">
        <v>1</v>
      </c>
      <c r="F76" s="236">
        <v>4282.5</v>
      </c>
      <c r="G76" s="590">
        <f t="shared" si="4"/>
        <v>4282.5</v>
      </c>
      <c r="H76" s="381" t="s">
        <v>496</v>
      </c>
      <c r="I76" s="376" t="s">
        <v>43</v>
      </c>
      <c r="J76" s="602">
        <v>0.96418981481481481</v>
      </c>
    </row>
    <row r="77" spans="1:10" s="593" customFormat="1" ht="19.25" customHeight="1" x14ac:dyDescent="0.35">
      <c r="A77" s="381"/>
      <c r="B77" s="594"/>
      <c r="C77" s="589"/>
      <c r="D77" s="600" t="s">
        <v>1056</v>
      </c>
      <c r="E77" s="601">
        <v>1</v>
      </c>
      <c r="F77" s="236">
        <v>1935</v>
      </c>
      <c r="G77" s="590">
        <f t="shared" si="4"/>
        <v>1935</v>
      </c>
      <c r="H77" s="381" t="s">
        <v>496</v>
      </c>
      <c r="I77" s="376" t="s">
        <v>43</v>
      </c>
      <c r="J77" s="602">
        <v>0.96418981481481481</v>
      </c>
    </row>
    <row r="78" spans="1:10" s="593" customFormat="1" ht="19.25" customHeight="1" x14ac:dyDescent="0.35">
      <c r="A78" s="381"/>
      <c r="B78" s="588"/>
      <c r="C78" s="589"/>
      <c r="D78" s="600" t="s">
        <v>1058</v>
      </c>
      <c r="E78" s="601">
        <v>1</v>
      </c>
      <c r="F78" s="236">
        <v>21366.45</v>
      </c>
      <c r="G78" s="590">
        <f t="shared" si="4"/>
        <v>21366.45</v>
      </c>
      <c r="H78" s="381" t="s">
        <v>496</v>
      </c>
      <c r="I78" s="376" t="s">
        <v>43</v>
      </c>
      <c r="J78" s="602">
        <v>0.96418981481481481</v>
      </c>
    </row>
    <row r="79" spans="1:10" s="593" customFormat="1" ht="19.25" customHeight="1" x14ac:dyDescent="0.35">
      <c r="A79" s="381"/>
      <c r="B79" s="588"/>
      <c r="C79" s="589"/>
      <c r="D79" s="600" t="s">
        <v>1062</v>
      </c>
      <c r="E79" s="601">
        <v>1</v>
      </c>
      <c r="F79" s="236">
        <v>3625.2</v>
      </c>
      <c r="G79" s="590">
        <f t="shared" si="4"/>
        <v>3625.2</v>
      </c>
      <c r="H79" s="381" t="s">
        <v>496</v>
      </c>
      <c r="I79" s="376" t="s">
        <v>43</v>
      </c>
      <c r="J79" s="602">
        <v>0.96418981481481481</v>
      </c>
    </row>
    <row r="80" spans="1:10" s="593" customFormat="1" ht="19.25" customHeight="1" x14ac:dyDescent="0.35">
      <c r="A80" s="381"/>
      <c r="B80" s="588"/>
      <c r="C80" s="589"/>
      <c r="D80" s="600" t="s">
        <v>1064</v>
      </c>
      <c r="E80" s="601">
        <v>1</v>
      </c>
      <c r="F80" s="236">
        <v>3856.05</v>
      </c>
      <c r="G80" s="590">
        <f t="shared" si="4"/>
        <v>3856.05</v>
      </c>
      <c r="H80" s="381" t="s">
        <v>496</v>
      </c>
      <c r="I80" s="376" t="s">
        <v>43</v>
      </c>
      <c r="J80" s="602">
        <v>0.96418981481481481</v>
      </c>
    </row>
    <row r="81" spans="1:10" s="593" customFormat="1" ht="19.25" customHeight="1" x14ac:dyDescent="0.35">
      <c r="A81" s="381"/>
      <c r="B81" s="588"/>
      <c r="C81" s="589"/>
      <c r="D81" s="600" t="s">
        <v>1066</v>
      </c>
      <c r="E81" s="601">
        <v>1</v>
      </c>
      <c r="F81" s="236">
        <v>1921</v>
      </c>
      <c r="G81" s="590">
        <f t="shared" si="4"/>
        <v>1921</v>
      </c>
      <c r="H81" s="381" t="s">
        <v>496</v>
      </c>
      <c r="I81" s="376" t="s">
        <v>43</v>
      </c>
      <c r="J81" s="602">
        <v>0.96418981481481481</v>
      </c>
    </row>
    <row r="82" spans="1:10" s="593" customFormat="1" ht="19.25" customHeight="1" x14ac:dyDescent="0.35">
      <c r="A82" s="381">
        <v>38</v>
      </c>
      <c r="B82" s="588" t="s">
        <v>1165</v>
      </c>
      <c r="C82" s="589">
        <v>8.6412037037037037E-2</v>
      </c>
      <c r="D82" s="603" t="s">
        <v>1094</v>
      </c>
      <c r="E82" s="604">
        <v>1</v>
      </c>
      <c r="F82" s="236">
        <v>2123.8000000000002</v>
      </c>
      <c r="G82" s="590">
        <f t="shared" si="4"/>
        <v>2123.8000000000002</v>
      </c>
      <c r="H82" s="381" t="s">
        <v>496</v>
      </c>
      <c r="I82" s="376" t="s">
        <v>43</v>
      </c>
      <c r="J82" s="602">
        <v>0.96418981481481481</v>
      </c>
    </row>
    <row r="83" spans="1:10" s="593" customFormat="1" ht="27" customHeight="1" x14ac:dyDescent="0.35">
      <c r="A83" s="381"/>
      <c r="B83" s="588"/>
      <c r="C83" s="589"/>
      <c r="D83" s="605" t="s">
        <v>1166</v>
      </c>
      <c r="E83" s="606">
        <v>1</v>
      </c>
      <c r="F83" s="236">
        <v>234740.25</v>
      </c>
      <c r="G83" s="590">
        <f t="shared" si="4"/>
        <v>234740.25</v>
      </c>
      <c r="H83" s="381" t="s">
        <v>496</v>
      </c>
      <c r="I83" s="376" t="s">
        <v>43</v>
      </c>
      <c r="J83" s="602">
        <v>0.96418981481481481</v>
      </c>
    </row>
    <row r="84" spans="1:10" s="593" customFormat="1" ht="21.65" customHeight="1" x14ac:dyDescent="0.35">
      <c r="A84" s="381"/>
      <c r="B84" s="595"/>
      <c r="C84" s="596"/>
      <c r="D84" s="605" t="s">
        <v>1095</v>
      </c>
      <c r="E84" s="606">
        <v>1</v>
      </c>
      <c r="F84" s="236">
        <v>3739.2</v>
      </c>
      <c r="G84" s="590">
        <f>F84*E84</f>
        <v>3739.2</v>
      </c>
      <c r="H84" s="381" t="s">
        <v>496</v>
      </c>
      <c r="I84" s="376" t="s">
        <v>43</v>
      </c>
      <c r="J84" s="602">
        <v>0.96418981481481481</v>
      </c>
    </row>
    <row r="85" spans="1:10" s="593" customFormat="1" ht="19.25" customHeight="1" x14ac:dyDescent="0.35">
      <c r="A85" s="381"/>
      <c r="B85" s="588"/>
      <c r="C85" s="589"/>
      <c r="D85" s="605" t="s">
        <v>1096</v>
      </c>
      <c r="E85" s="606">
        <v>1</v>
      </c>
      <c r="F85" s="236">
        <v>6463.8</v>
      </c>
      <c r="G85" s="590">
        <f t="shared" ref="G85:G95" si="5">F85*E85</f>
        <v>6463.8</v>
      </c>
      <c r="H85" s="381" t="s">
        <v>496</v>
      </c>
      <c r="I85" s="376" t="s">
        <v>43</v>
      </c>
      <c r="J85" s="602">
        <v>0.96418981481481481</v>
      </c>
    </row>
    <row r="86" spans="1:10" s="593" customFormat="1" ht="19.25" customHeight="1" x14ac:dyDescent="0.35">
      <c r="A86" s="381"/>
      <c r="B86" s="588"/>
      <c r="C86" s="589"/>
      <c r="D86" s="605" t="s">
        <v>1097</v>
      </c>
      <c r="E86" s="606">
        <v>1</v>
      </c>
      <c r="F86" s="236">
        <v>1252.5</v>
      </c>
      <c r="G86" s="590">
        <f t="shared" si="5"/>
        <v>1252.5</v>
      </c>
      <c r="H86" s="381" t="s">
        <v>496</v>
      </c>
      <c r="I86" s="376" t="s">
        <v>43</v>
      </c>
      <c r="J86" s="602">
        <v>0.96418981481481481</v>
      </c>
    </row>
    <row r="87" spans="1:10" s="593" customFormat="1" ht="19.25" customHeight="1" x14ac:dyDescent="0.35">
      <c r="A87" s="381"/>
      <c r="B87" s="588"/>
      <c r="C87" s="589"/>
      <c r="D87" s="605" t="s">
        <v>1115</v>
      </c>
      <c r="E87" s="606">
        <v>2</v>
      </c>
      <c r="F87" s="236">
        <v>117553.95</v>
      </c>
      <c r="G87" s="590">
        <f t="shared" si="5"/>
        <v>235107.9</v>
      </c>
      <c r="H87" s="381" t="s">
        <v>496</v>
      </c>
      <c r="I87" s="376" t="s">
        <v>43</v>
      </c>
      <c r="J87" s="602">
        <v>0.96418981481481481</v>
      </c>
    </row>
    <row r="88" spans="1:10" s="593" customFormat="1" ht="14" customHeight="1" x14ac:dyDescent="0.35">
      <c r="A88" s="381"/>
      <c r="B88" s="594"/>
      <c r="C88" s="589"/>
      <c r="D88" s="605" t="s">
        <v>1098</v>
      </c>
      <c r="E88" s="606">
        <v>1</v>
      </c>
      <c r="F88" s="236">
        <v>417436.65</v>
      </c>
      <c r="G88" s="590">
        <f t="shared" si="5"/>
        <v>417436.65</v>
      </c>
      <c r="H88" s="381" t="s">
        <v>496</v>
      </c>
      <c r="I88" s="376" t="s">
        <v>43</v>
      </c>
      <c r="J88" s="602">
        <v>0.96418981481481481</v>
      </c>
    </row>
    <row r="89" spans="1:10" s="593" customFormat="1" ht="19.25" customHeight="1" x14ac:dyDescent="0.35">
      <c r="A89" s="381"/>
      <c r="B89" s="594"/>
      <c r="C89" s="589"/>
      <c r="D89" s="605" t="s">
        <v>1114</v>
      </c>
      <c r="E89" s="606">
        <v>1</v>
      </c>
      <c r="F89" s="236">
        <v>3739.2</v>
      </c>
      <c r="G89" s="590">
        <f t="shared" si="5"/>
        <v>3739.2</v>
      </c>
      <c r="H89" s="381" t="s">
        <v>496</v>
      </c>
      <c r="I89" s="376" t="s">
        <v>43</v>
      </c>
      <c r="J89" s="602">
        <v>0.96418981481481481</v>
      </c>
    </row>
    <row r="90" spans="1:10" s="593" customFormat="1" ht="19.25" customHeight="1" x14ac:dyDescent="0.35">
      <c r="A90" s="381"/>
      <c r="B90" s="588"/>
      <c r="C90" s="589"/>
      <c r="D90" s="605" t="s">
        <v>1099</v>
      </c>
      <c r="E90" s="606">
        <v>1</v>
      </c>
      <c r="F90" s="236">
        <v>4132</v>
      </c>
      <c r="G90" s="590">
        <f t="shared" si="5"/>
        <v>4132</v>
      </c>
      <c r="H90" s="381" t="s">
        <v>496</v>
      </c>
      <c r="I90" s="376" t="s">
        <v>43</v>
      </c>
      <c r="J90" s="602">
        <v>0.96418981481481481</v>
      </c>
    </row>
    <row r="91" spans="1:10" s="593" customFormat="1" ht="19.25" customHeight="1" x14ac:dyDescent="0.35">
      <c r="A91" s="381"/>
      <c r="B91" s="588"/>
      <c r="C91" s="589"/>
      <c r="D91" s="605" t="s">
        <v>1100</v>
      </c>
      <c r="E91" s="606">
        <v>1</v>
      </c>
      <c r="F91" s="236">
        <v>5814</v>
      </c>
      <c r="G91" s="590">
        <f t="shared" si="5"/>
        <v>5814</v>
      </c>
      <c r="H91" s="381" t="s">
        <v>496</v>
      </c>
      <c r="I91" s="376" t="s">
        <v>43</v>
      </c>
      <c r="J91" s="602">
        <v>0.96418981481481481</v>
      </c>
    </row>
    <row r="92" spans="1:10" s="593" customFormat="1" ht="19.25" customHeight="1" x14ac:dyDescent="0.35">
      <c r="A92" s="381"/>
      <c r="B92" s="588"/>
      <c r="C92" s="589"/>
      <c r="D92" s="605" t="s">
        <v>1101</v>
      </c>
      <c r="E92" s="606">
        <v>1</v>
      </c>
      <c r="F92" s="236">
        <v>997.5</v>
      </c>
      <c r="G92" s="590">
        <f t="shared" si="5"/>
        <v>997.5</v>
      </c>
      <c r="H92" s="381" t="s">
        <v>496</v>
      </c>
      <c r="I92" s="376" t="s">
        <v>43</v>
      </c>
      <c r="J92" s="602">
        <v>0.96418981481481481</v>
      </c>
    </row>
    <row r="93" spans="1:10" s="593" customFormat="1" ht="19.25" customHeight="1" x14ac:dyDescent="0.35">
      <c r="A93" s="381"/>
      <c r="B93" s="588"/>
      <c r="C93" s="589"/>
      <c r="D93" s="605" t="s">
        <v>1102</v>
      </c>
      <c r="E93" s="606">
        <v>1</v>
      </c>
      <c r="F93" s="236">
        <v>2282.85</v>
      </c>
      <c r="G93" s="590">
        <f t="shared" si="5"/>
        <v>2282.85</v>
      </c>
      <c r="H93" s="381" t="s">
        <v>496</v>
      </c>
      <c r="I93" s="376" t="s">
        <v>43</v>
      </c>
      <c r="J93" s="602">
        <v>0.96418981481481481</v>
      </c>
    </row>
    <row r="94" spans="1:10" s="593" customFormat="1" ht="19.25" customHeight="1" x14ac:dyDescent="0.35">
      <c r="A94" s="381"/>
      <c r="B94" s="588"/>
      <c r="C94" s="589"/>
      <c r="D94" s="605" t="s">
        <v>1103</v>
      </c>
      <c r="E94" s="606">
        <v>1</v>
      </c>
      <c r="F94" s="236">
        <v>2002.5</v>
      </c>
      <c r="G94" s="590">
        <f t="shared" si="5"/>
        <v>2002.5</v>
      </c>
      <c r="H94" s="381" t="s">
        <v>496</v>
      </c>
      <c r="I94" s="376" t="s">
        <v>43</v>
      </c>
      <c r="J94" s="602">
        <v>0.96418981481481481</v>
      </c>
    </row>
    <row r="95" spans="1:10" s="593" customFormat="1" ht="19.25" customHeight="1" x14ac:dyDescent="0.35">
      <c r="A95" s="381"/>
      <c r="B95" s="588"/>
      <c r="C95" s="589"/>
      <c r="D95" s="605" t="s">
        <v>1104</v>
      </c>
      <c r="E95" s="606">
        <v>1</v>
      </c>
      <c r="F95" s="236">
        <v>1942.5</v>
      </c>
      <c r="G95" s="590">
        <f t="shared" si="5"/>
        <v>1942.5</v>
      </c>
      <c r="H95" s="381" t="s">
        <v>496</v>
      </c>
      <c r="I95" s="376" t="s">
        <v>43</v>
      </c>
      <c r="J95" s="602">
        <v>0.96418981481481481</v>
      </c>
    </row>
    <row r="96" spans="1:10" s="593" customFormat="1" ht="19.25" customHeight="1" x14ac:dyDescent="0.35">
      <c r="A96" s="381"/>
      <c r="B96" s="588"/>
      <c r="C96" s="589"/>
      <c r="D96" s="605" t="s">
        <v>1105</v>
      </c>
      <c r="E96" s="606">
        <v>1</v>
      </c>
      <c r="F96" s="236">
        <v>157756.04999999999</v>
      </c>
      <c r="G96" s="590">
        <f>F96*E96</f>
        <v>157756.04999999999</v>
      </c>
      <c r="H96" s="381" t="s">
        <v>496</v>
      </c>
      <c r="I96" s="376" t="s">
        <v>43</v>
      </c>
      <c r="J96" s="602">
        <v>0.96418981481481481</v>
      </c>
    </row>
    <row r="97" spans="1:10" s="593" customFormat="1" ht="19.25" customHeight="1" x14ac:dyDescent="0.35">
      <c r="A97" s="381"/>
      <c r="B97" s="588"/>
      <c r="C97" s="589"/>
      <c r="D97" s="605" t="s">
        <v>1106</v>
      </c>
      <c r="E97" s="606">
        <v>1</v>
      </c>
      <c r="F97" s="236">
        <v>23324.400000000001</v>
      </c>
      <c r="G97" s="590">
        <f>F97*E97</f>
        <v>23324.400000000001</v>
      </c>
      <c r="H97" s="381" t="s">
        <v>496</v>
      </c>
      <c r="I97" s="376" t="s">
        <v>43</v>
      </c>
      <c r="J97" s="602">
        <v>0.96418981481481481</v>
      </c>
    </row>
    <row r="98" spans="1:10" s="593" customFormat="1" ht="19.25" customHeight="1" x14ac:dyDescent="0.35">
      <c r="A98" s="381"/>
      <c r="B98" s="588"/>
      <c r="C98" s="589"/>
      <c r="D98" s="605" t="s">
        <v>1107</v>
      </c>
      <c r="E98" s="606">
        <v>1</v>
      </c>
      <c r="F98" s="236">
        <v>11704.95</v>
      </c>
      <c r="G98" s="590">
        <f>F98*E98</f>
        <v>11704.95</v>
      </c>
      <c r="H98" s="381" t="s">
        <v>496</v>
      </c>
      <c r="I98" s="376" t="s">
        <v>43</v>
      </c>
      <c r="J98" s="602">
        <v>0.96418981481481481</v>
      </c>
    </row>
    <row r="99" spans="1:10" s="593" customFormat="1" ht="14" customHeight="1" x14ac:dyDescent="0.35">
      <c r="A99" s="381"/>
      <c r="B99" s="594"/>
      <c r="C99" s="589"/>
      <c r="D99" s="605" t="s">
        <v>1108</v>
      </c>
      <c r="E99" s="606">
        <v>1</v>
      </c>
      <c r="F99" s="236">
        <v>2558.4</v>
      </c>
      <c r="G99" s="590">
        <f>F99*E99</f>
        <v>2558.4</v>
      </c>
      <c r="H99" s="381" t="s">
        <v>496</v>
      </c>
      <c r="I99" s="376" t="s">
        <v>43</v>
      </c>
      <c r="J99" s="602">
        <v>0.96418981481481481</v>
      </c>
    </row>
    <row r="100" spans="1:10" s="593" customFormat="1" ht="19.25" customHeight="1" x14ac:dyDescent="0.35">
      <c r="A100" s="381"/>
      <c r="B100" s="594"/>
      <c r="C100" s="589"/>
      <c r="D100" s="605" t="s">
        <v>1109</v>
      </c>
      <c r="E100" s="606">
        <v>1</v>
      </c>
      <c r="F100" s="236">
        <v>3821.2</v>
      </c>
      <c r="G100" s="590">
        <f t="shared" ref="G100:G107" si="6">F100*E100</f>
        <v>3821.2</v>
      </c>
      <c r="H100" s="381" t="s">
        <v>496</v>
      </c>
      <c r="I100" s="376" t="s">
        <v>43</v>
      </c>
      <c r="J100" s="602">
        <v>0.96418981481481481</v>
      </c>
    </row>
    <row r="101" spans="1:10" s="593" customFormat="1" ht="19.25" customHeight="1" x14ac:dyDescent="0.35">
      <c r="A101" s="381"/>
      <c r="B101" s="588"/>
      <c r="C101" s="589"/>
      <c r="D101" s="605" t="s">
        <v>1110</v>
      </c>
      <c r="E101" s="606">
        <v>1</v>
      </c>
      <c r="F101" s="236">
        <v>4132.5</v>
      </c>
      <c r="G101" s="590">
        <f t="shared" si="6"/>
        <v>4132.5</v>
      </c>
      <c r="H101" s="381" t="s">
        <v>496</v>
      </c>
      <c r="I101" s="376" t="s">
        <v>43</v>
      </c>
      <c r="J101" s="602">
        <v>0.96418981481481481</v>
      </c>
    </row>
    <row r="102" spans="1:10" s="593" customFormat="1" ht="19.25" customHeight="1" x14ac:dyDescent="0.35">
      <c r="A102" s="381"/>
      <c r="B102" s="588"/>
      <c r="C102" s="589"/>
      <c r="D102" s="605" t="s">
        <v>1111</v>
      </c>
      <c r="E102" s="606">
        <v>2</v>
      </c>
      <c r="F102" s="236">
        <v>83046.149999999994</v>
      </c>
      <c r="G102" s="590">
        <f t="shared" si="6"/>
        <v>166092.29999999999</v>
      </c>
      <c r="H102" s="381" t="s">
        <v>496</v>
      </c>
      <c r="I102" s="376" t="s">
        <v>43</v>
      </c>
      <c r="J102" s="602">
        <v>0.96418981481481481</v>
      </c>
    </row>
    <row r="103" spans="1:10" s="593" customFormat="1" ht="19.25" customHeight="1" x14ac:dyDescent="0.35">
      <c r="A103" s="381"/>
      <c r="B103" s="588"/>
      <c r="C103" s="589"/>
      <c r="D103" s="605" t="s">
        <v>1112</v>
      </c>
      <c r="E103" s="606">
        <v>1</v>
      </c>
      <c r="F103" s="236">
        <v>170384.4</v>
      </c>
      <c r="G103" s="590">
        <f t="shared" si="6"/>
        <v>170384.4</v>
      </c>
      <c r="H103" s="381" t="s">
        <v>496</v>
      </c>
      <c r="I103" s="376" t="s">
        <v>43</v>
      </c>
      <c r="J103" s="602">
        <v>0.96418981481481481</v>
      </c>
    </row>
    <row r="104" spans="1:10" s="593" customFormat="1" ht="19.25" customHeight="1" x14ac:dyDescent="0.35">
      <c r="A104" s="381"/>
      <c r="B104" s="588"/>
      <c r="C104" s="589"/>
      <c r="D104" s="607"/>
      <c r="E104" s="608"/>
      <c r="F104" s="236"/>
      <c r="G104" s="590">
        <f>F104*E104</f>
        <v>0</v>
      </c>
      <c r="H104" s="381"/>
      <c r="I104" s="376"/>
      <c r="J104" s="602"/>
    </row>
    <row r="105" spans="1:10" s="593" customFormat="1" ht="19.25" customHeight="1" x14ac:dyDescent="0.35">
      <c r="A105" s="381"/>
      <c r="B105" s="588"/>
      <c r="C105" s="589"/>
      <c r="D105" s="607"/>
      <c r="E105" s="608"/>
      <c r="F105" s="236"/>
      <c r="G105" s="590">
        <f>F105*E105</f>
        <v>0</v>
      </c>
      <c r="H105" s="381"/>
      <c r="I105" s="376"/>
      <c r="J105" s="602"/>
    </row>
    <row r="106" spans="1:10" s="11" customFormat="1" ht="19.25" customHeight="1" x14ac:dyDescent="0.35">
      <c r="A106" s="20"/>
      <c r="B106" s="102"/>
      <c r="C106" s="153"/>
      <c r="D106" s="607"/>
      <c r="E106" s="608"/>
      <c r="F106" s="236"/>
      <c r="G106" s="9">
        <f t="shared" si="6"/>
        <v>0</v>
      </c>
      <c r="H106" s="381"/>
      <c r="I106" s="21"/>
      <c r="J106" s="34"/>
    </row>
    <row r="107" spans="1:10" s="11" customFormat="1" ht="19.25" customHeight="1" x14ac:dyDescent="0.35">
      <c r="A107" s="20"/>
      <c r="B107" s="102"/>
      <c r="C107" s="153"/>
      <c r="D107" s="493"/>
      <c r="E107" s="494"/>
      <c r="F107" s="236"/>
      <c r="G107" s="9">
        <f t="shared" si="6"/>
        <v>0</v>
      </c>
      <c r="H107" s="381"/>
      <c r="I107" s="193"/>
      <c r="J107" s="309"/>
    </row>
    <row r="108" spans="1:10" s="11" customFormat="1" ht="19.25" customHeight="1" x14ac:dyDescent="0.35">
      <c r="A108" s="186"/>
      <c r="B108" s="102"/>
      <c r="C108" s="187"/>
      <c r="D108" s="493"/>
      <c r="E108" s="494"/>
      <c r="F108" s="236"/>
      <c r="G108" s="9"/>
      <c r="H108" s="381"/>
      <c r="I108" s="193"/>
      <c r="J108" s="309"/>
    </row>
    <row r="109" spans="1:10" s="225" customFormat="1" ht="19.25" customHeight="1" x14ac:dyDescent="0.35">
      <c r="A109" s="685"/>
      <c r="B109" s="670" t="s">
        <v>481</v>
      </c>
      <c r="C109" s="673" t="s">
        <v>475</v>
      </c>
      <c r="D109" s="415" t="s">
        <v>482</v>
      </c>
      <c r="E109" s="474">
        <v>1</v>
      </c>
      <c r="F109" s="475">
        <v>67014.899999999994</v>
      </c>
      <c r="G109" s="224">
        <f t="shared" ref="G109:G114" si="7">F109*E109</f>
        <v>67014.899999999994</v>
      </c>
      <c r="H109" s="473" t="s">
        <v>480</v>
      </c>
      <c r="I109" s="476" t="s">
        <v>43</v>
      </c>
      <c r="J109" s="477">
        <v>0.79543981481481485</v>
      </c>
    </row>
    <row r="110" spans="1:10" s="225" customFormat="1" x14ac:dyDescent="0.35">
      <c r="A110" s="686"/>
      <c r="B110" s="671"/>
      <c r="C110" s="674"/>
      <c r="D110" s="415" t="s">
        <v>483</v>
      </c>
      <c r="E110" s="474">
        <v>1</v>
      </c>
      <c r="F110" s="475">
        <v>84961.35</v>
      </c>
      <c r="G110" s="224">
        <f t="shared" si="7"/>
        <v>84961.35</v>
      </c>
      <c r="H110" s="473" t="s">
        <v>480</v>
      </c>
      <c r="I110" s="476" t="s">
        <v>43</v>
      </c>
      <c r="J110" s="477">
        <v>0.83710648148148159</v>
      </c>
    </row>
    <row r="111" spans="1:10" s="225" customFormat="1" x14ac:dyDescent="0.35">
      <c r="A111" s="686"/>
      <c r="B111" s="671"/>
      <c r="C111" s="674"/>
      <c r="D111" s="415" t="s">
        <v>484</v>
      </c>
      <c r="E111" s="474">
        <v>1</v>
      </c>
      <c r="F111" s="475">
        <v>40133.699999999997</v>
      </c>
      <c r="G111" s="224">
        <f t="shared" si="7"/>
        <v>40133.699999999997</v>
      </c>
      <c r="H111" s="473" t="s">
        <v>480</v>
      </c>
      <c r="I111" s="476" t="s">
        <v>43</v>
      </c>
      <c r="J111" s="477">
        <v>0.79543981481481485</v>
      </c>
    </row>
    <row r="112" spans="1:10" s="629" customFormat="1" x14ac:dyDescent="0.35">
      <c r="A112" s="686"/>
      <c r="B112" s="671"/>
      <c r="C112" s="674"/>
      <c r="D112" s="622" t="s">
        <v>485</v>
      </c>
      <c r="E112" s="623">
        <v>1</v>
      </c>
      <c r="F112" s="624">
        <v>3787.5</v>
      </c>
      <c r="G112" s="625">
        <f t="shared" si="7"/>
        <v>3787.5</v>
      </c>
      <c r="H112" s="626" t="s">
        <v>480</v>
      </c>
      <c r="I112" s="627" t="s">
        <v>43</v>
      </c>
      <c r="J112" s="628">
        <v>0.83710648148148159</v>
      </c>
    </row>
    <row r="113" spans="1:10" s="322" customFormat="1" x14ac:dyDescent="0.35">
      <c r="A113" s="686"/>
      <c r="B113" s="671"/>
      <c r="C113" s="674"/>
      <c r="D113" s="316" t="s">
        <v>486</v>
      </c>
      <c r="E113" s="317">
        <v>1</v>
      </c>
      <c r="F113" s="318">
        <v>15937.2</v>
      </c>
      <c r="G113" s="319">
        <f t="shared" si="7"/>
        <v>15937.2</v>
      </c>
      <c r="H113" s="385" t="s">
        <v>480</v>
      </c>
      <c r="I113" s="320" t="s">
        <v>43</v>
      </c>
      <c r="J113" s="321">
        <v>0.79543981481481485</v>
      </c>
    </row>
    <row r="114" spans="1:10" s="225" customFormat="1" x14ac:dyDescent="0.35">
      <c r="A114" s="687"/>
      <c r="B114" s="672"/>
      <c r="C114" s="675"/>
      <c r="D114" s="415" t="s">
        <v>487</v>
      </c>
      <c r="E114" s="474">
        <v>1</v>
      </c>
      <c r="F114" s="475">
        <v>21930.75</v>
      </c>
      <c r="G114" s="224">
        <f t="shared" si="7"/>
        <v>21930.75</v>
      </c>
      <c r="H114" s="473" t="s">
        <v>480</v>
      </c>
      <c r="I114" s="476" t="s">
        <v>43</v>
      </c>
      <c r="J114" s="477">
        <v>0.83710648148148159</v>
      </c>
    </row>
    <row r="115" spans="1:10" s="1" customFormat="1" x14ac:dyDescent="0.35">
      <c r="A115" s="2"/>
      <c r="B115" s="2"/>
      <c r="C115" s="2"/>
      <c r="D115" s="190"/>
      <c r="E115" s="184"/>
      <c r="F115" s="29" t="s">
        <v>12</v>
      </c>
      <c r="G115" s="29">
        <f>SUM(G2:G114)</f>
        <v>25948454.199999992</v>
      </c>
      <c r="H115" s="380"/>
      <c r="I115" s="10"/>
      <c r="J115" s="32"/>
    </row>
  </sheetData>
  <mergeCells count="31">
    <mergeCell ref="C26:C27"/>
    <mergeCell ref="H6:H7"/>
    <mergeCell ref="B6:B7"/>
    <mergeCell ref="C6:C7"/>
    <mergeCell ref="A6:A7"/>
    <mergeCell ref="A23:A25"/>
    <mergeCell ref="A26:A27"/>
    <mergeCell ref="A29:A30"/>
    <mergeCell ref="A9:A21"/>
    <mergeCell ref="A109:A114"/>
    <mergeCell ref="A54:A55"/>
    <mergeCell ref="B54:B55"/>
    <mergeCell ref="A47:A48"/>
    <mergeCell ref="A34:A35"/>
    <mergeCell ref="A43:A44"/>
    <mergeCell ref="C54:C55"/>
    <mergeCell ref="B109:B114"/>
    <mergeCell ref="C109:C114"/>
    <mergeCell ref="B9:B21"/>
    <mergeCell ref="C9:C21"/>
    <mergeCell ref="B43:B44"/>
    <mergeCell ref="C43:C44"/>
    <mergeCell ref="B47:B48"/>
    <mergeCell ref="C47:C48"/>
    <mergeCell ref="B34:B35"/>
    <mergeCell ref="C34:C35"/>
    <mergeCell ref="B29:B30"/>
    <mergeCell ref="C29:C30"/>
    <mergeCell ref="B23:B25"/>
    <mergeCell ref="C23:C25"/>
    <mergeCell ref="B26:B27"/>
  </mergeCells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59"/>
  <sheetViews>
    <sheetView workbookViewId="0">
      <pane ySplit="1" topLeftCell="A2" activePane="bottomLeft" state="frozen"/>
      <selection pane="bottomLeft" activeCell="B140" sqref="B140"/>
    </sheetView>
  </sheetViews>
  <sheetFormatPr defaultColWidth="8.90625" defaultRowHeight="12" x14ac:dyDescent="0.3"/>
  <cols>
    <col min="1" max="1" width="8.90625" style="259"/>
    <col min="2" max="2" width="25.6328125" style="259" customWidth="1"/>
    <col min="3" max="3" width="13.08984375" style="259" customWidth="1"/>
    <col min="4" max="4" width="10.08984375" style="259" bestFit="1" customWidth="1"/>
    <col min="5" max="5" width="10.08984375" style="259" customWidth="1"/>
    <col min="6" max="6" width="50.54296875" style="259" customWidth="1"/>
    <col min="7" max="7" width="8.90625" style="259"/>
    <col min="8" max="8" width="12.36328125" style="259" bestFit="1" customWidth="1"/>
    <col min="9" max="9" width="14.08984375" style="259" bestFit="1" customWidth="1"/>
    <col min="10" max="10" width="11.54296875" style="259" bestFit="1" customWidth="1"/>
    <col min="11" max="11" width="20.453125" style="259" customWidth="1"/>
    <col min="12" max="16384" width="8.90625" style="259"/>
  </cols>
  <sheetData>
    <row r="1" spans="1:12" s="261" customFormat="1" ht="29" x14ac:dyDescent="0.35">
      <c r="A1" s="159" t="s">
        <v>13</v>
      </c>
      <c r="B1" s="159" t="s">
        <v>16</v>
      </c>
      <c r="C1" s="159" t="s">
        <v>17</v>
      </c>
      <c r="D1" s="159" t="s">
        <v>0</v>
      </c>
      <c r="E1" s="159" t="s">
        <v>547</v>
      </c>
      <c r="F1" s="159" t="s">
        <v>509</v>
      </c>
      <c r="G1" s="159" t="s">
        <v>1</v>
      </c>
      <c r="H1" s="159" t="s">
        <v>18</v>
      </c>
      <c r="I1" s="159" t="s">
        <v>10</v>
      </c>
      <c r="J1" s="159" t="s">
        <v>510</v>
      </c>
      <c r="K1" s="159" t="s">
        <v>511</v>
      </c>
      <c r="L1" s="260"/>
    </row>
    <row r="2" spans="1:12" s="267" customFormat="1" ht="24.75" customHeight="1" x14ac:dyDescent="0.35">
      <c r="A2" s="262">
        <v>1</v>
      </c>
      <c r="B2" s="262" t="s">
        <v>436</v>
      </c>
      <c r="C2" s="263">
        <v>0.79959490740740735</v>
      </c>
      <c r="D2" s="263">
        <v>0.71141203703703704</v>
      </c>
      <c r="E2" s="263"/>
      <c r="F2" s="273" t="s">
        <v>437</v>
      </c>
      <c r="G2" s="262">
        <v>1</v>
      </c>
      <c r="H2" s="265">
        <v>80300</v>
      </c>
      <c r="I2" s="265">
        <f t="shared" ref="I2:I33" si="0">G2*H2</f>
        <v>80300</v>
      </c>
      <c r="J2" s="262" t="s">
        <v>35</v>
      </c>
      <c r="K2" s="266" t="s">
        <v>1171</v>
      </c>
      <c r="L2" s="262"/>
    </row>
    <row r="3" spans="1:12" s="267" customFormat="1" ht="24.75" customHeight="1" x14ac:dyDescent="0.35">
      <c r="A3" s="262">
        <v>2</v>
      </c>
      <c r="B3" s="262" t="s">
        <v>159</v>
      </c>
      <c r="C3" s="263">
        <v>0.84126157407407398</v>
      </c>
      <c r="D3" s="263">
        <v>0.7947453703703703</v>
      </c>
      <c r="E3" s="263"/>
      <c r="F3" s="264" t="s">
        <v>161</v>
      </c>
      <c r="G3" s="262">
        <f>10-9</f>
        <v>1</v>
      </c>
      <c r="H3" s="265">
        <v>4977</v>
      </c>
      <c r="I3" s="265">
        <f t="shared" si="0"/>
        <v>4977</v>
      </c>
      <c r="J3" s="262" t="s">
        <v>65</v>
      </c>
      <c r="K3" s="262" t="s">
        <v>1167</v>
      </c>
      <c r="L3" s="262"/>
    </row>
    <row r="4" spans="1:12" s="267" customFormat="1" ht="24.65" customHeight="1" x14ac:dyDescent="0.35">
      <c r="A4" s="262">
        <v>3</v>
      </c>
      <c r="B4" s="262" t="s">
        <v>167</v>
      </c>
      <c r="C4" s="263" t="s">
        <v>164</v>
      </c>
      <c r="D4" s="263" t="s">
        <v>165</v>
      </c>
      <c r="E4" s="263"/>
      <c r="F4" s="264" t="s">
        <v>166</v>
      </c>
      <c r="G4" s="262">
        <f>12-8</f>
        <v>4</v>
      </c>
      <c r="H4" s="265">
        <v>7900</v>
      </c>
      <c r="I4" s="265">
        <f t="shared" si="0"/>
        <v>31600</v>
      </c>
      <c r="J4" s="262" t="s">
        <v>81</v>
      </c>
      <c r="K4" s="262" t="s">
        <v>1167</v>
      </c>
      <c r="L4" s="262" t="s">
        <v>665</v>
      </c>
    </row>
    <row r="5" spans="1:12" s="267" customFormat="1" ht="24.75" customHeight="1" x14ac:dyDescent="0.35">
      <c r="A5" s="262"/>
      <c r="B5" s="262"/>
      <c r="C5" s="263"/>
      <c r="D5" s="263"/>
      <c r="E5" s="263"/>
      <c r="F5" s="264" t="s">
        <v>168</v>
      </c>
      <c r="G5" s="262">
        <f>12-6</f>
        <v>6</v>
      </c>
      <c r="H5" s="265">
        <v>6047</v>
      </c>
      <c r="I5" s="265">
        <f t="shared" si="0"/>
        <v>36282</v>
      </c>
      <c r="J5" s="262" t="s">
        <v>81</v>
      </c>
      <c r="K5" s="262" t="s">
        <v>1167</v>
      </c>
      <c r="L5" s="262"/>
    </row>
    <row r="6" spans="1:12" s="267" customFormat="1" ht="24.75" customHeight="1" x14ac:dyDescent="0.35">
      <c r="A6" s="262">
        <v>4</v>
      </c>
      <c r="B6" s="262" t="s">
        <v>171</v>
      </c>
      <c r="C6" s="263" t="s">
        <v>172</v>
      </c>
      <c r="D6" s="263" t="s">
        <v>173</v>
      </c>
      <c r="E6" s="263"/>
      <c r="F6" s="264" t="s">
        <v>170</v>
      </c>
      <c r="G6" s="262">
        <v>1</v>
      </c>
      <c r="H6" s="265">
        <v>1083900</v>
      </c>
      <c r="I6" s="265">
        <f t="shared" si="0"/>
        <v>1083900</v>
      </c>
      <c r="J6" s="262" t="s">
        <v>65</v>
      </c>
      <c r="K6" s="262" t="s">
        <v>1167</v>
      </c>
      <c r="L6" s="262"/>
    </row>
    <row r="7" spans="1:12" s="267" customFormat="1" ht="24.75" customHeight="1" x14ac:dyDescent="0.35">
      <c r="A7" s="262">
        <v>5</v>
      </c>
      <c r="B7" s="262" t="s">
        <v>180</v>
      </c>
      <c r="C7" s="263">
        <v>0.21695601851851853</v>
      </c>
      <c r="D7" s="263" t="s">
        <v>181</v>
      </c>
      <c r="E7" s="263"/>
      <c r="F7" s="403" t="s">
        <v>182</v>
      </c>
      <c r="G7" s="401">
        <v>4</v>
      </c>
      <c r="H7" s="402">
        <v>12930</v>
      </c>
      <c r="I7" s="402">
        <f t="shared" si="0"/>
        <v>51720</v>
      </c>
      <c r="J7" s="401" t="s">
        <v>81</v>
      </c>
      <c r="K7" s="262" t="s">
        <v>1167</v>
      </c>
      <c r="L7" s="262"/>
    </row>
    <row r="8" spans="1:12" s="267" customFormat="1" ht="24.75" customHeight="1" x14ac:dyDescent="0.35">
      <c r="A8" s="262"/>
      <c r="B8" s="262"/>
      <c r="C8" s="263"/>
      <c r="D8" s="263"/>
      <c r="E8" s="263"/>
      <c r="F8" s="403" t="s">
        <v>183</v>
      </c>
      <c r="G8" s="401">
        <v>4</v>
      </c>
      <c r="H8" s="402">
        <v>30158</v>
      </c>
      <c r="I8" s="402">
        <f t="shared" si="0"/>
        <v>120632</v>
      </c>
      <c r="J8" s="401" t="s">
        <v>81</v>
      </c>
      <c r="K8" s="262" t="s">
        <v>1167</v>
      </c>
      <c r="L8" s="262"/>
    </row>
    <row r="9" spans="1:12" s="267" customFormat="1" ht="24.75" customHeight="1" x14ac:dyDescent="0.35">
      <c r="A9" s="262"/>
      <c r="B9" s="262"/>
      <c r="C9" s="263"/>
      <c r="D9" s="263"/>
      <c r="E9" s="263"/>
      <c r="F9" s="403" t="s">
        <v>184</v>
      </c>
      <c r="G9" s="401">
        <v>8</v>
      </c>
      <c r="H9" s="402">
        <v>6475</v>
      </c>
      <c r="I9" s="402">
        <f t="shared" si="0"/>
        <v>51800</v>
      </c>
      <c r="J9" s="401" t="s">
        <v>81</v>
      </c>
      <c r="K9" s="262" t="s">
        <v>1167</v>
      </c>
      <c r="L9" s="262"/>
    </row>
    <row r="10" spans="1:12" s="277" customFormat="1" ht="24.75" customHeight="1" x14ac:dyDescent="0.35">
      <c r="A10" s="275"/>
      <c r="B10" s="275"/>
      <c r="C10" s="276"/>
      <c r="D10" s="276"/>
      <c r="E10" s="276"/>
      <c r="F10" s="404" t="s">
        <v>185</v>
      </c>
      <c r="G10" s="405">
        <v>8</v>
      </c>
      <c r="H10" s="406">
        <v>4250</v>
      </c>
      <c r="I10" s="406">
        <f t="shared" si="0"/>
        <v>34000</v>
      </c>
      <c r="J10" s="405" t="s">
        <v>192</v>
      </c>
      <c r="K10" s="262" t="s">
        <v>1167</v>
      </c>
      <c r="L10" s="275"/>
    </row>
    <row r="11" spans="1:12" s="267" customFormat="1" ht="24.75" customHeight="1" x14ac:dyDescent="0.35">
      <c r="A11" s="262"/>
      <c r="B11" s="262"/>
      <c r="C11" s="263"/>
      <c r="D11" s="263"/>
      <c r="E11" s="263"/>
      <c r="F11" s="403" t="s">
        <v>186</v>
      </c>
      <c r="G11" s="401">
        <v>8</v>
      </c>
      <c r="H11" s="402">
        <v>22929</v>
      </c>
      <c r="I11" s="402">
        <f t="shared" si="0"/>
        <v>183432</v>
      </c>
      <c r="J11" s="401" t="s">
        <v>81</v>
      </c>
      <c r="K11" s="262" t="s">
        <v>1167</v>
      </c>
      <c r="L11" s="262"/>
    </row>
    <row r="12" spans="1:12" s="267" customFormat="1" ht="24.75" customHeight="1" x14ac:dyDescent="0.35">
      <c r="A12" s="262"/>
      <c r="B12" s="262"/>
      <c r="C12" s="263"/>
      <c r="D12" s="263"/>
      <c r="E12" s="263"/>
      <c r="F12" s="403" t="s">
        <v>187</v>
      </c>
      <c r="G12" s="401">
        <v>4</v>
      </c>
      <c r="H12" s="402">
        <v>45515</v>
      </c>
      <c r="I12" s="402">
        <f t="shared" si="0"/>
        <v>182060</v>
      </c>
      <c r="J12" s="401" t="s">
        <v>81</v>
      </c>
      <c r="K12" s="262" t="s">
        <v>1167</v>
      </c>
      <c r="L12" s="262"/>
    </row>
    <row r="13" spans="1:12" s="267" customFormat="1" ht="24.75" customHeight="1" x14ac:dyDescent="0.35">
      <c r="A13" s="262"/>
      <c r="B13" s="262"/>
      <c r="C13" s="263"/>
      <c r="D13" s="263"/>
      <c r="E13" s="263"/>
      <c r="F13" s="403" t="s">
        <v>188</v>
      </c>
      <c r="G13" s="401">
        <v>2</v>
      </c>
      <c r="H13" s="402">
        <v>4718</v>
      </c>
      <c r="I13" s="402">
        <f t="shared" si="0"/>
        <v>9436</v>
      </c>
      <c r="J13" s="401" t="s">
        <v>81</v>
      </c>
      <c r="K13" s="262" t="s">
        <v>1167</v>
      </c>
      <c r="L13" s="262"/>
    </row>
    <row r="14" spans="1:12" s="267" customFormat="1" ht="24.75" customHeight="1" x14ac:dyDescent="0.35">
      <c r="A14" s="262"/>
      <c r="B14" s="262"/>
      <c r="C14" s="263"/>
      <c r="D14" s="263"/>
      <c r="E14" s="263"/>
      <c r="F14" s="403" t="s">
        <v>189</v>
      </c>
      <c r="G14" s="401">
        <v>4</v>
      </c>
      <c r="H14" s="402">
        <v>47788</v>
      </c>
      <c r="I14" s="402">
        <f t="shared" si="0"/>
        <v>191152</v>
      </c>
      <c r="J14" s="401" t="s">
        <v>81</v>
      </c>
      <c r="K14" s="262" t="s">
        <v>1167</v>
      </c>
      <c r="L14" s="262"/>
    </row>
    <row r="15" spans="1:12" s="267" customFormat="1" ht="24.75" customHeight="1" x14ac:dyDescent="0.35">
      <c r="A15" s="262">
        <v>6</v>
      </c>
      <c r="B15" s="262" t="s">
        <v>201</v>
      </c>
      <c r="C15" s="263">
        <v>0.42528935185185185</v>
      </c>
      <c r="D15" s="263">
        <v>0.41974537037037035</v>
      </c>
      <c r="E15" s="263"/>
      <c r="F15" s="403" t="s">
        <v>202</v>
      </c>
      <c r="G15" s="401">
        <v>4</v>
      </c>
      <c r="H15" s="402">
        <v>95472.11</v>
      </c>
      <c r="I15" s="402">
        <f t="shared" si="0"/>
        <v>381888.44</v>
      </c>
      <c r="J15" s="401" t="s">
        <v>81</v>
      </c>
      <c r="K15" s="262" t="s">
        <v>1167</v>
      </c>
      <c r="L15" s="262"/>
    </row>
    <row r="16" spans="1:12" s="552" customFormat="1" ht="27.65" customHeight="1" x14ac:dyDescent="0.35">
      <c r="A16" s="546">
        <v>7</v>
      </c>
      <c r="B16" s="546" t="s">
        <v>227</v>
      </c>
      <c r="C16" s="547">
        <v>0.42528935185185185</v>
      </c>
      <c r="D16" s="547">
        <v>0.54543981481481485</v>
      </c>
      <c r="E16" s="547"/>
      <c r="F16" s="548" t="s">
        <v>203</v>
      </c>
      <c r="G16" s="549">
        <v>1</v>
      </c>
      <c r="H16" s="550">
        <v>373598</v>
      </c>
      <c r="I16" s="551">
        <f t="shared" si="0"/>
        <v>373598</v>
      </c>
      <c r="J16" s="546" t="s">
        <v>746</v>
      </c>
      <c r="K16" s="664" t="s">
        <v>1167</v>
      </c>
      <c r="L16" s="546"/>
    </row>
    <row r="17" spans="1:12" s="267" customFormat="1" ht="27.65" customHeight="1" x14ac:dyDescent="0.35">
      <c r="A17" s="262"/>
      <c r="B17" s="262"/>
      <c r="C17" s="263"/>
      <c r="D17" s="263">
        <v>0.54543981481481485</v>
      </c>
      <c r="E17" s="263"/>
      <c r="F17" s="281" t="s">
        <v>204</v>
      </c>
      <c r="G17" s="282">
        <v>1</v>
      </c>
      <c r="H17" s="283">
        <v>462286</v>
      </c>
      <c r="I17" s="265">
        <f t="shared" si="0"/>
        <v>462286</v>
      </c>
      <c r="J17" s="262" t="s">
        <v>65</v>
      </c>
      <c r="K17" s="262" t="s">
        <v>1167</v>
      </c>
      <c r="L17" s="262"/>
    </row>
    <row r="18" spans="1:12" s="552" customFormat="1" ht="27.65" customHeight="1" x14ac:dyDescent="0.35">
      <c r="A18" s="546"/>
      <c r="B18" s="546"/>
      <c r="C18" s="547"/>
      <c r="D18" s="547">
        <v>0.54543981481481485</v>
      </c>
      <c r="E18" s="547"/>
      <c r="F18" s="548" t="s">
        <v>205</v>
      </c>
      <c r="G18" s="549">
        <v>1</v>
      </c>
      <c r="H18" s="550">
        <v>383700</v>
      </c>
      <c r="I18" s="551">
        <f t="shared" si="0"/>
        <v>383700</v>
      </c>
      <c r="J18" s="546" t="s">
        <v>65</v>
      </c>
      <c r="K18" s="664" t="s">
        <v>1167</v>
      </c>
      <c r="L18" s="546"/>
    </row>
    <row r="19" spans="1:12" s="552" customFormat="1" ht="27.65" customHeight="1" x14ac:dyDescent="0.35">
      <c r="A19" s="546"/>
      <c r="B19" s="546"/>
      <c r="C19" s="547"/>
      <c r="D19" s="547">
        <v>0.54543981481481485</v>
      </c>
      <c r="E19" s="547"/>
      <c r="F19" s="548" t="s">
        <v>206</v>
      </c>
      <c r="G19" s="549">
        <v>1</v>
      </c>
      <c r="H19" s="550">
        <v>101280</v>
      </c>
      <c r="I19" s="551">
        <f t="shared" si="0"/>
        <v>101280</v>
      </c>
      <c r="J19" s="546" t="s">
        <v>65</v>
      </c>
      <c r="K19" s="664" t="s">
        <v>1167</v>
      </c>
      <c r="L19" s="546" t="s">
        <v>518</v>
      </c>
    </row>
    <row r="20" spans="1:12" s="552" customFormat="1" ht="27.65" customHeight="1" x14ac:dyDescent="0.35">
      <c r="A20" s="546"/>
      <c r="B20" s="546"/>
      <c r="C20" s="547"/>
      <c r="D20" s="547">
        <v>0.54543981481481485</v>
      </c>
      <c r="E20" s="547"/>
      <c r="F20" s="548" t="s">
        <v>207</v>
      </c>
      <c r="G20" s="549">
        <v>2</v>
      </c>
      <c r="H20" s="550">
        <v>25535</v>
      </c>
      <c r="I20" s="551">
        <f t="shared" si="0"/>
        <v>51070</v>
      </c>
      <c r="J20" s="546" t="s">
        <v>65</v>
      </c>
      <c r="K20" s="664" t="s">
        <v>1167</v>
      </c>
      <c r="L20" s="546"/>
    </row>
    <row r="21" spans="1:12" s="552" customFormat="1" ht="27.65" customHeight="1" x14ac:dyDescent="0.35">
      <c r="A21" s="546"/>
      <c r="B21" s="546"/>
      <c r="C21" s="547"/>
      <c r="D21" s="547">
        <v>0.54543981481481485</v>
      </c>
      <c r="E21" s="547"/>
      <c r="F21" s="548" t="s">
        <v>208</v>
      </c>
      <c r="G21" s="549">
        <v>1</v>
      </c>
      <c r="H21" s="550">
        <v>252240</v>
      </c>
      <c r="I21" s="551">
        <f t="shared" si="0"/>
        <v>252240</v>
      </c>
      <c r="J21" s="546" t="s">
        <v>65</v>
      </c>
      <c r="K21" s="664" t="s">
        <v>1167</v>
      </c>
      <c r="L21" s="546" t="s">
        <v>66</v>
      </c>
    </row>
    <row r="22" spans="1:12" s="267" customFormat="1" ht="27.65" customHeight="1" x14ac:dyDescent="0.35">
      <c r="A22" s="262"/>
      <c r="B22" s="262"/>
      <c r="C22" s="263"/>
      <c r="D22" s="263">
        <v>0.54543981481481485</v>
      </c>
      <c r="E22" s="263"/>
      <c r="F22" s="281" t="s">
        <v>209</v>
      </c>
      <c r="G22" s="282">
        <v>2</v>
      </c>
      <c r="H22" s="283">
        <v>5600</v>
      </c>
      <c r="I22" s="265">
        <f t="shared" si="0"/>
        <v>11200</v>
      </c>
      <c r="J22" s="262" t="s">
        <v>81</v>
      </c>
      <c r="K22" s="262" t="s">
        <v>1167</v>
      </c>
      <c r="L22" s="262"/>
    </row>
    <row r="23" spans="1:12" s="267" customFormat="1" ht="27.65" customHeight="1" x14ac:dyDescent="0.35">
      <c r="A23" s="262"/>
      <c r="B23" s="262"/>
      <c r="C23" s="263"/>
      <c r="D23" s="263">
        <v>0.54543981481481485</v>
      </c>
      <c r="E23" s="263"/>
      <c r="F23" s="278" t="s">
        <v>210</v>
      </c>
      <c r="G23" s="279">
        <v>1</v>
      </c>
      <c r="H23" s="280">
        <v>540450</v>
      </c>
      <c r="I23" s="265">
        <f t="shared" si="0"/>
        <v>540450</v>
      </c>
      <c r="J23" s="262" t="s">
        <v>65</v>
      </c>
      <c r="K23" s="262" t="s">
        <v>1167</v>
      </c>
      <c r="L23" s="262"/>
    </row>
    <row r="24" spans="1:12" s="267" customFormat="1" ht="27.65" customHeight="1" x14ac:dyDescent="0.35">
      <c r="A24" s="262"/>
      <c r="B24" s="262"/>
      <c r="C24" s="263"/>
      <c r="D24" s="263">
        <v>0.54543981481481485</v>
      </c>
      <c r="E24" s="263"/>
      <c r="F24" s="278" t="s">
        <v>211</v>
      </c>
      <c r="G24" s="279">
        <v>1</v>
      </c>
      <c r="H24" s="280">
        <v>2317540</v>
      </c>
      <c r="I24" s="265">
        <f t="shared" si="0"/>
        <v>2317540</v>
      </c>
      <c r="J24" s="262" t="s">
        <v>65</v>
      </c>
      <c r="K24" s="262" t="s">
        <v>1167</v>
      </c>
      <c r="L24" s="262"/>
    </row>
    <row r="25" spans="1:12" s="552" customFormat="1" ht="27.65" customHeight="1" x14ac:dyDescent="0.35">
      <c r="A25" s="546"/>
      <c r="B25" s="546"/>
      <c r="C25" s="547"/>
      <c r="D25" s="547">
        <v>0.54543981481481485</v>
      </c>
      <c r="E25" s="547"/>
      <c r="F25" s="548" t="s">
        <v>212</v>
      </c>
      <c r="G25" s="549">
        <v>1</v>
      </c>
      <c r="H25" s="550">
        <v>12600</v>
      </c>
      <c r="I25" s="551">
        <f t="shared" si="0"/>
        <v>12600</v>
      </c>
      <c r="J25" s="546" t="s">
        <v>65</v>
      </c>
      <c r="K25" s="664" t="s">
        <v>1167</v>
      </c>
      <c r="L25" s="546" t="s">
        <v>518</v>
      </c>
    </row>
    <row r="26" spans="1:12" s="552" customFormat="1" ht="27.65" customHeight="1" x14ac:dyDescent="0.35">
      <c r="A26" s="546"/>
      <c r="B26" s="546"/>
      <c r="C26" s="547"/>
      <c r="D26" s="547">
        <v>0.54543981481481485</v>
      </c>
      <c r="E26" s="547"/>
      <c r="F26" s="548" t="s">
        <v>213</v>
      </c>
      <c r="G26" s="549">
        <v>1</v>
      </c>
      <c r="H26" s="550">
        <v>16990</v>
      </c>
      <c r="I26" s="551">
        <f t="shared" si="0"/>
        <v>16990</v>
      </c>
      <c r="J26" s="546" t="s">
        <v>65</v>
      </c>
      <c r="K26" s="664" t="s">
        <v>1167</v>
      </c>
      <c r="L26" s="546"/>
    </row>
    <row r="27" spans="1:12" s="552" customFormat="1" ht="27.65" customHeight="1" x14ac:dyDescent="0.35">
      <c r="A27" s="546"/>
      <c r="B27" s="546"/>
      <c r="C27" s="547"/>
      <c r="D27" s="547">
        <v>0.54543981481481485</v>
      </c>
      <c r="E27" s="547"/>
      <c r="F27" s="548" t="s">
        <v>226</v>
      </c>
      <c r="G27" s="549">
        <v>2</v>
      </c>
      <c r="H27" s="550">
        <v>5118</v>
      </c>
      <c r="I27" s="551">
        <f t="shared" si="0"/>
        <v>10236</v>
      </c>
      <c r="J27" s="546" t="s">
        <v>65</v>
      </c>
      <c r="K27" s="664" t="s">
        <v>1167</v>
      </c>
      <c r="L27" s="546" t="s">
        <v>518</v>
      </c>
    </row>
    <row r="28" spans="1:12" s="267" customFormat="1" ht="27.65" customHeight="1" x14ac:dyDescent="0.35">
      <c r="A28" s="262"/>
      <c r="B28" s="262"/>
      <c r="C28" s="263"/>
      <c r="D28" s="263">
        <v>0.54543981481481485</v>
      </c>
      <c r="E28" s="263"/>
      <c r="F28" s="278" t="s">
        <v>214</v>
      </c>
      <c r="G28" s="279">
        <v>2</v>
      </c>
      <c r="H28" s="280">
        <v>115079</v>
      </c>
      <c r="I28" s="265">
        <f t="shared" si="0"/>
        <v>230158</v>
      </c>
      <c r="J28" s="262" t="s">
        <v>65</v>
      </c>
      <c r="K28" s="262" t="s">
        <v>1167</v>
      </c>
      <c r="L28" s="262"/>
    </row>
    <row r="29" spans="1:12" s="552" customFormat="1" ht="27.65" customHeight="1" x14ac:dyDescent="0.35">
      <c r="A29" s="546"/>
      <c r="B29" s="546"/>
      <c r="C29" s="547"/>
      <c r="D29" s="547">
        <v>0.54543981481481485</v>
      </c>
      <c r="E29" s="547"/>
      <c r="F29" s="548" t="s">
        <v>215</v>
      </c>
      <c r="G29" s="549">
        <v>1</v>
      </c>
      <c r="H29" s="550">
        <v>203860</v>
      </c>
      <c r="I29" s="551">
        <f t="shared" si="0"/>
        <v>203860</v>
      </c>
      <c r="J29" s="546" t="s">
        <v>65</v>
      </c>
      <c r="K29" s="546" t="s">
        <v>1167</v>
      </c>
      <c r="L29" s="546"/>
    </row>
    <row r="30" spans="1:12" s="267" customFormat="1" ht="27.65" customHeight="1" x14ac:dyDescent="0.35">
      <c r="A30" s="262"/>
      <c r="B30" s="262"/>
      <c r="C30" s="263"/>
      <c r="D30" s="263">
        <v>0.54543981481481485</v>
      </c>
      <c r="E30" s="263"/>
      <c r="F30" s="278" t="s">
        <v>216</v>
      </c>
      <c r="G30" s="279">
        <v>1</v>
      </c>
      <c r="H30" s="280">
        <v>229764</v>
      </c>
      <c r="I30" s="265">
        <f t="shared" si="0"/>
        <v>229764</v>
      </c>
      <c r="J30" s="262" t="s">
        <v>65</v>
      </c>
      <c r="K30" s="262" t="s">
        <v>1167</v>
      </c>
      <c r="L30" s="262"/>
    </row>
    <row r="31" spans="1:12" s="267" customFormat="1" ht="27.65" customHeight="1" x14ac:dyDescent="0.35">
      <c r="A31" s="262"/>
      <c r="B31" s="262"/>
      <c r="C31" s="263"/>
      <c r="D31" s="263">
        <v>0.54543981481481485</v>
      </c>
      <c r="E31" s="263"/>
      <c r="F31" s="278" t="s">
        <v>217</v>
      </c>
      <c r="G31" s="279">
        <v>1</v>
      </c>
      <c r="H31" s="280">
        <v>274765</v>
      </c>
      <c r="I31" s="265">
        <f t="shared" si="0"/>
        <v>274765</v>
      </c>
      <c r="J31" s="262" t="s">
        <v>65</v>
      </c>
      <c r="K31" s="262" t="s">
        <v>1167</v>
      </c>
      <c r="L31" s="262"/>
    </row>
    <row r="32" spans="1:12" s="552" customFormat="1" ht="27.65" customHeight="1" x14ac:dyDescent="0.35">
      <c r="A32" s="546"/>
      <c r="B32" s="546"/>
      <c r="C32" s="547"/>
      <c r="D32" s="547">
        <v>0.54543981481481485</v>
      </c>
      <c r="E32" s="547"/>
      <c r="F32" s="548" t="s">
        <v>218</v>
      </c>
      <c r="G32" s="549">
        <v>1</v>
      </c>
      <c r="H32" s="550">
        <v>239406</v>
      </c>
      <c r="I32" s="551">
        <f t="shared" si="0"/>
        <v>239406</v>
      </c>
      <c r="J32" s="546" t="s">
        <v>65</v>
      </c>
      <c r="K32" s="664" t="s">
        <v>1167</v>
      </c>
      <c r="L32" s="546"/>
    </row>
    <row r="33" spans="1:12" s="267" customFormat="1" ht="27.65" customHeight="1" x14ac:dyDescent="0.35">
      <c r="A33" s="262"/>
      <c r="B33" s="262"/>
      <c r="C33" s="263"/>
      <c r="D33" s="263">
        <v>0.54543981481481485</v>
      </c>
      <c r="E33" s="263"/>
      <c r="F33" s="278" t="s">
        <v>219</v>
      </c>
      <c r="G33" s="279">
        <v>1</v>
      </c>
      <c r="H33" s="280">
        <v>332640</v>
      </c>
      <c r="I33" s="265">
        <f t="shared" si="0"/>
        <v>332640</v>
      </c>
      <c r="J33" s="262" t="s">
        <v>65</v>
      </c>
      <c r="K33" s="262" t="s">
        <v>1167</v>
      </c>
      <c r="L33" s="262"/>
    </row>
    <row r="34" spans="1:12" s="267" customFormat="1" ht="27.65" customHeight="1" x14ac:dyDescent="0.35">
      <c r="A34" s="262"/>
      <c r="B34" s="262"/>
      <c r="C34" s="263"/>
      <c r="D34" s="263">
        <v>0.54543981481481485</v>
      </c>
      <c r="E34" s="263"/>
      <c r="F34" s="278" t="s">
        <v>220</v>
      </c>
      <c r="G34" s="279">
        <v>1</v>
      </c>
      <c r="H34" s="280">
        <v>248090</v>
      </c>
      <c r="I34" s="265">
        <f t="shared" ref="I34:I65" si="1">G34*H34</f>
        <v>248090</v>
      </c>
      <c r="J34" s="262" t="s">
        <v>65</v>
      </c>
      <c r="K34" s="262" t="s">
        <v>1167</v>
      </c>
      <c r="L34" s="262"/>
    </row>
    <row r="35" spans="1:12" s="267" customFormat="1" ht="27.65" customHeight="1" x14ac:dyDescent="0.35">
      <c r="A35" s="262"/>
      <c r="B35" s="262"/>
      <c r="C35" s="263"/>
      <c r="D35" s="263">
        <v>0.54543981481481485</v>
      </c>
      <c r="E35" s="263"/>
      <c r="F35" s="278" t="s">
        <v>221</v>
      </c>
      <c r="G35" s="279">
        <v>1</v>
      </c>
      <c r="H35" s="280">
        <v>256020</v>
      </c>
      <c r="I35" s="265">
        <f t="shared" si="1"/>
        <v>256020</v>
      </c>
      <c r="J35" s="262" t="s">
        <v>65</v>
      </c>
      <c r="K35" s="262" t="s">
        <v>1167</v>
      </c>
      <c r="L35" s="262"/>
    </row>
    <row r="36" spans="1:12" s="267" customFormat="1" ht="27.65" customHeight="1" x14ac:dyDescent="0.35">
      <c r="A36" s="262"/>
      <c r="B36" s="262"/>
      <c r="C36" s="263"/>
      <c r="D36" s="263">
        <v>0.54543981481481485</v>
      </c>
      <c r="E36" s="263"/>
      <c r="F36" s="278" t="s">
        <v>222</v>
      </c>
      <c r="G36" s="279">
        <v>1</v>
      </c>
      <c r="H36" s="280">
        <v>465860</v>
      </c>
      <c r="I36" s="265">
        <f t="shared" si="1"/>
        <v>465860</v>
      </c>
      <c r="J36" s="262" t="s">
        <v>65</v>
      </c>
      <c r="K36" s="262" t="s">
        <v>1167</v>
      </c>
      <c r="L36" s="262"/>
    </row>
    <row r="37" spans="1:12" s="267" customFormat="1" ht="27.65" customHeight="1" x14ac:dyDescent="0.35">
      <c r="A37" s="262"/>
      <c r="B37" s="262"/>
      <c r="C37" s="263"/>
      <c r="D37" s="263">
        <v>0.54543981481481485</v>
      </c>
      <c r="E37" s="263"/>
      <c r="F37" s="278" t="s">
        <v>223</v>
      </c>
      <c r="G37" s="279">
        <v>1</v>
      </c>
      <c r="H37" s="280">
        <v>163020</v>
      </c>
      <c r="I37" s="265">
        <f t="shared" si="1"/>
        <v>163020</v>
      </c>
      <c r="J37" s="262" t="s">
        <v>65</v>
      </c>
      <c r="K37" s="262" t="s">
        <v>1167</v>
      </c>
      <c r="L37" s="262"/>
    </row>
    <row r="38" spans="1:12" s="463" customFormat="1" ht="27.65" customHeight="1" x14ac:dyDescent="0.35">
      <c r="A38" s="458"/>
      <c r="B38" s="458"/>
      <c r="C38" s="459"/>
      <c r="D38" s="459">
        <v>0.54543981481481485</v>
      </c>
      <c r="E38" s="459"/>
      <c r="F38" s="460" t="s">
        <v>224</v>
      </c>
      <c r="G38" s="461">
        <v>2</v>
      </c>
      <c r="H38" s="630">
        <v>194710</v>
      </c>
      <c r="I38" s="462">
        <f t="shared" si="1"/>
        <v>389420</v>
      </c>
      <c r="J38" s="458" t="s">
        <v>65</v>
      </c>
      <c r="K38" s="458" t="s">
        <v>1167</v>
      </c>
      <c r="L38" s="458"/>
    </row>
    <row r="39" spans="1:12" s="552" customFormat="1" ht="27.65" customHeight="1" x14ac:dyDescent="0.35">
      <c r="A39" s="546"/>
      <c r="B39" s="546"/>
      <c r="C39" s="547"/>
      <c r="D39" s="547">
        <v>0.54543981481481485</v>
      </c>
      <c r="E39" s="547"/>
      <c r="F39" s="548" t="s">
        <v>225</v>
      </c>
      <c r="G39" s="549">
        <v>1</v>
      </c>
      <c r="H39" s="550">
        <v>502754</v>
      </c>
      <c r="I39" s="551">
        <f t="shared" si="1"/>
        <v>502754</v>
      </c>
      <c r="J39" s="546" t="s">
        <v>65</v>
      </c>
      <c r="K39" s="664" t="s">
        <v>1167</v>
      </c>
      <c r="L39" s="546"/>
    </row>
    <row r="40" spans="1:12" s="552" customFormat="1" ht="27" customHeight="1" x14ac:dyDescent="0.35">
      <c r="A40" s="546">
        <v>9</v>
      </c>
      <c r="B40" s="546" t="s">
        <v>277</v>
      </c>
      <c r="C40" s="547">
        <v>0.8002893518518519</v>
      </c>
      <c r="D40" s="547">
        <v>0.12877314814814814</v>
      </c>
      <c r="E40" s="547"/>
      <c r="F40" s="548" t="s">
        <v>278</v>
      </c>
      <c r="G40" s="549">
        <v>2</v>
      </c>
      <c r="H40" s="550">
        <v>206620</v>
      </c>
      <c r="I40" s="551">
        <f t="shared" si="1"/>
        <v>413240</v>
      </c>
      <c r="J40" s="546" t="s">
        <v>65</v>
      </c>
      <c r="K40" s="546" t="s">
        <v>1167</v>
      </c>
      <c r="L40" s="546"/>
    </row>
    <row r="41" spans="1:12" s="267" customFormat="1" ht="27" customHeight="1" x14ac:dyDescent="0.35">
      <c r="A41" s="262">
        <v>11</v>
      </c>
      <c r="B41" s="262" t="s">
        <v>289</v>
      </c>
      <c r="C41" s="263">
        <v>0.96695601851851853</v>
      </c>
      <c r="D41" s="263" t="s">
        <v>290</v>
      </c>
      <c r="E41" s="263"/>
      <c r="F41" s="278" t="s">
        <v>291</v>
      </c>
      <c r="G41" s="279">
        <v>9</v>
      </c>
      <c r="H41" s="284">
        <v>4977</v>
      </c>
      <c r="I41" s="265">
        <f t="shared" si="1"/>
        <v>44793</v>
      </c>
      <c r="J41" s="262" t="s">
        <v>65</v>
      </c>
      <c r="K41" s="262" t="s">
        <v>1167</v>
      </c>
      <c r="L41" s="262"/>
    </row>
    <row r="42" spans="1:12" s="552" customFormat="1" ht="27" customHeight="1" x14ac:dyDescent="0.35">
      <c r="A42" s="546">
        <v>12</v>
      </c>
      <c r="B42" s="546" t="s">
        <v>292</v>
      </c>
      <c r="C42" s="547">
        <v>0.9252893518518519</v>
      </c>
      <c r="D42" s="547">
        <v>0.25377314814814816</v>
      </c>
      <c r="E42" s="547"/>
      <c r="F42" s="548" t="s">
        <v>293</v>
      </c>
      <c r="G42" s="549">
        <v>1</v>
      </c>
      <c r="H42" s="550">
        <v>10404.9</v>
      </c>
      <c r="I42" s="551">
        <f t="shared" si="1"/>
        <v>10404.9</v>
      </c>
      <c r="J42" s="546" t="s">
        <v>65</v>
      </c>
      <c r="K42" s="664" t="s">
        <v>1167</v>
      </c>
      <c r="L42" s="546"/>
    </row>
    <row r="43" spans="1:12" s="552" customFormat="1" ht="27" customHeight="1" x14ac:dyDescent="0.35">
      <c r="A43" s="546"/>
      <c r="B43" s="546"/>
      <c r="C43" s="547"/>
      <c r="D43" s="547"/>
      <c r="E43" s="547"/>
      <c r="F43" s="548" t="s">
        <v>310</v>
      </c>
      <c r="G43" s="549">
        <v>1</v>
      </c>
      <c r="H43" s="550">
        <v>23310.54</v>
      </c>
      <c r="I43" s="551">
        <f t="shared" si="1"/>
        <v>23310.54</v>
      </c>
      <c r="J43" s="546" t="s">
        <v>65</v>
      </c>
      <c r="K43" s="546" t="s">
        <v>1167</v>
      </c>
      <c r="L43" s="546"/>
    </row>
    <row r="44" spans="1:12" s="552" customFormat="1" ht="27" customHeight="1" x14ac:dyDescent="0.35">
      <c r="A44" s="546"/>
      <c r="B44" s="546"/>
      <c r="C44" s="547"/>
      <c r="D44" s="547"/>
      <c r="E44" s="547"/>
      <c r="F44" s="548" t="s">
        <v>294</v>
      </c>
      <c r="G44" s="549">
        <v>1</v>
      </c>
      <c r="H44" s="550">
        <v>83078.820000000007</v>
      </c>
      <c r="I44" s="551">
        <f t="shared" si="1"/>
        <v>83078.820000000007</v>
      </c>
      <c r="J44" s="546" t="s">
        <v>65</v>
      </c>
      <c r="K44" s="664" t="s">
        <v>1167</v>
      </c>
      <c r="L44" s="546"/>
    </row>
    <row r="45" spans="1:12" s="552" customFormat="1" ht="27" customHeight="1" x14ac:dyDescent="0.35">
      <c r="A45" s="546"/>
      <c r="B45" s="546"/>
      <c r="C45" s="547"/>
      <c r="D45" s="547"/>
      <c r="E45" s="547"/>
      <c r="F45" s="548" t="s">
        <v>295</v>
      </c>
      <c r="G45" s="549">
        <v>2</v>
      </c>
      <c r="H45" s="550">
        <v>1312.74</v>
      </c>
      <c r="I45" s="551">
        <f t="shared" si="1"/>
        <v>2625.48</v>
      </c>
      <c r="J45" s="546" t="s">
        <v>65</v>
      </c>
      <c r="K45" s="664" t="s">
        <v>1167</v>
      </c>
      <c r="L45" s="546" t="s">
        <v>517</v>
      </c>
    </row>
    <row r="46" spans="1:12" s="552" customFormat="1" ht="27" customHeight="1" x14ac:dyDescent="0.35">
      <c r="A46" s="546"/>
      <c r="B46" s="546"/>
      <c r="C46" s="547"/>
      <c r="D46" s="547"/>
      <c r="E46" s="547"/>
      <c r="F46" s="548" t="s">
        <v>296</v>
      </c>
      <c r="G46" s="549">
        <v>2</v>
      </c>
      <c r="H46" s="550">
        <v>37287.360000000001</v>
      </c>
      <c r="I46" s="551">
        <f t="shared" si="1"/>
        <v>74574.720000000001</v>
      </c>
      <c r="J46" s="546" t="s">
        <v>65</v>
      </c>
      <c r="K46" s="664" t="s">
        <v>1167</v>
      </c>
      <c r="L46" s="546" t="s">
        <v>518</v>
      </c>
    </row>
    <row r="47" spans="1:12" s="552" customFormat="1" ht="27" customHeight="1" x14ac:dyDescent="0.35">
      <c r="A47" s="546"/>
      <c r="B47" s="546"/>
      <c r="C47" s="547"/>
      <c r="D47" s="547"/>
      <c r="E47" s="547"/>
      <c r="F47" s="548" t="s">
        <v>297</v>
      </c>
      <c r="G47" s="549">
        <v>2</v>
      </c>
      <c r="H47" s="550">
        <v>1534.5</v>
      </c>
      <c r="I47" s="551">
        <f t="shared" si="1"/>
        <v>3069</v>
      </c>
      <c r="J47" s="546" t="s">
        <v>65</v>
      </c>
      <c r="K47" s="664" t="s">
        <v>1167</v>
      </c>
      <c r="L47" s="546" t="s">
        <v>517</v>
      </c>
    </row>
    <row r="48" spans="1:12" s="552" customFormat="1" ht="27" customHeight="1" x14ac:dyDescent="0.35">
      <c r="A48" s="546"/>
      <c r="B48" s="546"/>
      <c r="C48" s="547"/>
      <c r="D48" s="547"/>
      <c r="E48" s="547"/>
      <c r="F48" s="548" t="s">
        <v>299</v>
      </c>
      <c r="G48" s="549">
        <v>1</v>
      </c>
      <c r="H48" s="550">
        <v>243011.34</v>
      </c>
      <c r="I48" s="551">
        <f t="shared" si="1"/>
        <v>243011.34</v>
      </c>
      <c r="J48" s="546" t="s">
        <v>65</v>
      </c>
      <c r="K48" s="664" t="s">
        <v>1167</v>
      </c>
      <c r="L48" s="546"/>
    </row>
    <row r="49" spans="1:12" s="552" customFormat="1" ht="27" customHeight="1" x14ac:dyDescent="0.35">
      <c r="A49" s="546"/>
      <c r="B49" s="546"/>
      <c r="C49" s="547"/>
      <c r="D49" s="547"/>
      <c r="E49" s="547"/>
      <c r="F49" s="548" t="s">
        <v>298</v>
      </c>
      <c r="G49" s="549">
        <v>2</v>
      </c>
      <c r="H49" s="550">
        <v>7509.15</v>
      </c>
      <c r="I49" s="551">
        <f t="shared" si="1"/>
        <v>15018.3</v>
      </c>
      <c r="J49" s="546" t="s">
        <v>65</v>
      </c>
      <c r="K49" s="664" t="s">
        <v>1167</v>
      </c>
      <c r="L49" s="546" t="s">
        <v>517</v>
      </c>
    </row>
    <row r="50" spans="1:12" s="552" customFormat="1" ht="27" customHeight="1" x14ac:dyDescent="0.35">
      <c r="A50" s="546"/>
      <c r="B50" s="546"/>
      <c r="C50" s="547"/>
      <c r="D50" s="547"/>
      <c r="E50" s="547"/>
      <c r="F50" s="548" t="s">
        <v>300</v>
      </c>
      <c r="G50" s="549">
        <v>1</v>
      </c>
      <c r="H50" s="550">
        <v>12615.57</v>
      </c>
      <c r="I50" s="551">
        <f t="shared" si="1"/>
        <v>12615.57</v>
      </c>
      <c r="J50" s="546" t="s">
        <v>65</v>
      </c>
      <c r="K50" s="664" t="s">
        <v>1167</v>
      </c>
      <c r="L50" s="546" t="s">
        <v>517</v>
      </c>
    </row>
    <row r="51" spans="1:12" s="552" customFormat="1" ht="27" customHeight="1" x14ac:dyDescent="0.35">
      <c r="A51" s="546"/>
      <c r="B51" s="546"/>
      <c r="C51" s="547"/>
      <c r="D51" s="547"/>
      <c r="E51" s="547"/>
      <c r="F51" s="548" t="s">
        <v>301</v>
      </c>
      <c r="G51" s="549">
        <v>1</v>
      </c>
      <c r="H51" s="550">
        <v>18310.05</v>
      </c>
      <c r="I51" s="551">
        <f t="shared" si="1"/>
        <v>18310.05</v>
      </c>
      <c r="J51" s="546" t="s">
        <v>65</v>
      </c>
      <c r="K51" s="664" t="s">
        <v>1167</v>
      </c>
      <c r="L51" s="546"/>
    </row>
    <row r="52" spans="1:12" s="267" customFormat="1" ht="27" customHeight="1" x14ac:dyDescent="0.35">
      <c r="A52" s="262"/>
      <c r="B52" s="262"/>
      <c r="C52" s="263"/>
      <c r="D52" s="263"/>
      <c r="E52" s="263"/>
      <c r="F52" s="407" t="s">
        <v>302</v>
      </c>
      <c r="G52" s="408">
        <v>1</v>
      </c>
      <c r="H52" s="409">
        <v>5028.21</v>
      </c>
      <c r="I52" s="402">
        <f t="shared" si="1"/>
        <v>5028.21</v>
      </c>
      <c r="J52" s="401" t="s">
        <v>65</v>
      </c>
      <c r="K52" s="262" t="s">
        <v>1167</v>
      </c>
      <c r="L52" s="262"/>
    </row>
    <row r="53" spans="1:12" s="552" customFormat="1" ht="27" customHeight="1" x14ac:dyDescent="0.35">
      <c r="A53" s="546"/>
      <c r="B53" s="546"/>
      <c r="C53" s="547"/>
      <c r="D53" s="547"/>
      <c r="E53" s="547"/>
      <c r="F53" s="548" t="s">
        <v>303</v>
      </c>
      <c r="G53" s="549">
        <v>1</v>
      </c>
      <c r="H53" s="550">
        <v>12229.47</v>
      </c>
      <c r="I53" s="551">
        <f t="shared" si="1"/>
        <v>12229.47</v>
      </c>
      <c r="J53" s="546" t="s">
        <v>65</v>
      </c>
      <c r="K53" s="664" t="s">
        <v>1167</v>
      </c>
      <c r="L53" s="546"/>
    </row>
    <row r="54" spans="1:12" s="552" customFormat="1" ht="27" customHeight="1" x14ac:dyDescent="0.35">
      <c r="A54" s="546"/>
      <c r="B54" s="546"/>
      <c r="C54" s="547"/>
      <c r="D54" s="547"/>
      <c r="E54" s="547"/>
      <c r="F54" s="548" t="s">
        <v>304</v>
      </c>
      <c r="G54" s="549">
        <v>1</v>
      </c>
      <c r="H54" s="550">
        <v>74091.600000000006</v>
      </c>
      <c r="I54" s="551">
        <f t="shared" si="1"/>
        <v>74091.600000000006</v>
      </c>
      <c r="J54" s="546" t="s">
        <v>65</v>
      </c>
      <c r="K54" s="664" t="s">
        <v>1167</v>
      </c>
      <c r="L54" s="546"/>
    </row>
    <row r="55" spans="1:12" s="552" customFormat="1" ht="27" customHeight="1" x14ac:dyDescent="0.35">
      <c r="A55" s="546"/>
      <c r="B55" s="546"/>
      <c r="C55" s="547"/>
      <c r="D55" s="547"/>
      <c r="E55" s="547"/>
      <c r="F55" s="548" t="s">
        <v>305</v>
      </c>
      <c r="G55" s="549">
        <v>1</v>
      </c>
      <c r="H55" s="550">
        <v>9768.33</v>
      </c>
      <c r="I55" s="551">
        <f t="shared" si="1"/>
        <v>9768.33</v>
      </c>
      <c r="J55" s="546" t="s">
        <v>65</v>
      </c>
      <c r="K55" s="664" t="s">
        <v>1167</v>
      </c>
      <c r="L55" s="546" t="s">
        <v>517</v>
      </c>
    </row>
    <row r="56" spans="1:12" s="552" customFormat="1" ht="27" customHeight="1" x14ac:dyDescent="0.35">
      <c r="A56" s="546"/>
      <c r="B56" s="546"/>
      <c r="C56" s="547"/>
      <c r="D56" s="547"/>
      <c r="E56" s="547"/>
      <c r="F56" s="548" t="s">
        <v>306</v>
      </c>
      <c r="G56" s="549">
        <v>1</v>
      </c>
      <c r="H56" s="550">
        <v>416736.54</v>
      </c>
      <c r="I56" s="551">
        <f t="shared" si="1"/>
        <v>416736.54</v>
      </c>
      <c r="J56" s="546" t="s">
        <v>65</v>
      </c>
      <c r="K56" s="664" t="s">
        <v>1167</v>
      </c>
      <c r="L56" s="546" t="s">
        <v>517</v>
      </c>
    </row>
    <row r="57" spans="1:12" s="552" customFormat="1" ht="27" customHeight="1" x14ac:dyDescent="0.35">
      <c r="A57" s="546"/>
      <c r="B57" s="546"/>
      <c r="C57" s="547"/>
      <c r="D57" s="547"/>
      <c r="E57" s="547"/>
      <c r="F57" s="548" t="s">
        <v>307</v>
      </c>
      <c r="G57" s="549">
        <v>1</v>
      </c>
      <c r="H57" s="550">
        <v>96003.27</v>
      </c>
      <c r="I57" s="551">
        <f t="shared" si="1"/>
        <v>96003.27</v>
      </c>
      <c r="J57" s="546" t="s">
        <v>65</v>
      </c>
      <c r="K57" s="664" t="s">
        <v>1167</v>
      </c>
      <c r="L57" s="546"/>
    </row>
    <row r="58" spans="1:12" s="552" customFormat="1" ht="27" customHeight="1" x14ac:dyDescent="0.35">
      <c r="A58" s="546"/>
      <c r="B58" s="546"/>
      <c r="C58" s="547"/>
      <c r="D58" s="547"/>
      <c r="E58" s="547"/>
      <c r="F58" s="548" t="s">
        <v>308</v>
      </c>
      <c r="G58" s="549">
        <v>3</v>
      </c>
      <c r="H58" s="550">
        <v>7683.39</v>
      </c>
      <c r="I58" s="551">
        <f t="shared" si="1"/>
        <v>23050.170000000002</v>
      </c>
      <c r="J58" s="546" t="s">
        <v>65</v>
      </c>
      <c r="K58" s="664" t="s">
        <v>1167</v>
      </c>
      <c r="L58" s="546" t="s">
        <v>518</v>
      </c>
    </row>
    <row r="59" spans="1:12" s="552" customFormat="1" ht="27" customHeight="1" x14ac:dyDescent="0.35">
      <c r="A59" s="546"/>
      <c r="B59" s="546"/>
      <c r="C59" s="547"/>
      <c r="D59" s="547"/>
      <c r="E59" s="547"/>
      <c r="F59" s="548" t="s">
        <v>309</v>
      </c>
      <c r="G59" s="549">
        <v>4</v>
      </c>
      <c r="H59" s="550">
        <v>6360.75</v>
      </c>
      <c r="I59" s="551">
        <f t="shared" si="1"/>
        <v>25443</v>
      </c>
      <c r="J59" s="546" t="s">
        <v>65</v>
      </c>
      <c r="K59" s="664" t="s">
        <v>1167</v>
      </c>
      <c r="L59" s="546"/>
    </row>
    <row r="60" spans="1:12" s="552" customFormat="1" ht="30.65" customHeight="1" x14ac:dyDescent="0.35">
      <c r="A60" s="546"/>
      <c r="B60" s="546"/>
      <c r="C60" s="547"/>
      <c r="D60" s="547"/>
      <c r="E60" s="547"/>
      <c r="F60" s="548" t="s">
        <v>306</v>
      </c>
      <c r="G60" s="549">
        <v>1</v>
      </c>
      <c r="H60" s="550">
        <v>416736.54</v>
      </c>
      <c r="I60" s="551">
        <f t="shared" si="1"/>
        <v>416736.54</v>
      </c>
      <c r="J60" s="546" t="s">
        <v>65</v>
      </c>
      <c r="K60" s="664" t="s">
        <v>1167</v>
      </c>
      <c r="L60" s="546" t="s">
        <v>517</v>
      </c>
    </row>
    <row r="61" spans="1:12" s="552" customFormat="1" ht="27" customHeight="1" x14ac:dyDescent="0.35">
      <c r="A61" s="546">
        <v>13</v>
      </c>
      <c r="B61" s="546" t="s">
        <v>316</v>
      </c>
      <c r="C61" s="547" t="s">
        <v>313</v>
      </c>
      <c r="D61" s="547">
        <v>0.25446759259259261</v>
      </c>
      <c r="E61" s="547"/>
      <c r="F61" s="548" t="s">
        <v>317</v>
      </c>
      <c r="G61" s="549">
        <v>1</v>
      </c>
      <c r="H61" s="550">
        <v>100864</v>
      </c>
      <c r="I61" s="551">
        <f t="shared" si="1"/>
        <v>100864</v>
      </c>
      <c r="J61" s="546" t="s">
        <v>65</v>
      </c>
      <c r="K61" s="664" t="s">
        <v>1167</v>
      </c>
      <c r="L61" s="546"/>
    </row>
    <row r="62" spans="1:12" s="369" customFormat="1" ht="27" customHeight="1" x14ac:dyDescent="0.35">
      <c r="A62" s="365">
        <v>14</v>
      </c>
      <c r="B62" s="365" t="s">
        <v>318</v>
      </c>
      <c r="C62" s="366" t="s">
        <v>313</v>
      </c>
      <c r="D62" s="366" t="s">
        <v>319</v>
      </c>
      <c r="E62" s="366"/>
      <c r="F62" s="410" t="s">
        <v>320</v>
      </c>
      <c r="G62" s="411">
        <v>5</v>
      </c>
      <c r="H62" s="412">
        <v>36300</v>
      </c>
      <c r="I62" s="413">
        <f t="shared" si="1"/>
        <v>181500</v>
      </c>
      <c r="J62" s="414" t="s">
        <v>591</v>
      </c>
      <c r="K62" s="262" t="s">
        <v>1167</v>
      </c>
      <c r="L62" s="365"/>
    </row>
    <row r="63" spans="1:12" s="552" customFormat="1" ht="27" customHeight="1" x14ac:dyDescent="0.35">
      <c r="A63" s="546">
        <v>15</v>
      </c>
      <c r="B63" s="546" t="s">
        <v>321</v>
      </c>
      <c r="C63" s="547" t="s">
        <v>313</v>
      </c>
      <c r="D63" s="547" t="s">
        <v>322</v>
      </c>
      <c r="E63" s="547"/>
      <c r="F63" s="548" t="s">
        <v>323</v>
      </c>
      <c r="G63" s="549">
        <v>4</v>
      </c>
      <c r="H63" s="550">
        <v>5461</v>
      </c>
      <c r="I63" s="551">
        <f t="shared" si="1"/>
        <v>21844</v>
      </c>
      <c r="J63" s="546" t="s">
        <v>81</v>
      </c>
      <c r="K63" s="664" t="s">
        <v>1167</v>
      </c>
      <c r="L63" s="546"/>
    </row>
    <row r="64" spans="1:12" s="552" customFormat="1" ht="27" customHeight="1" x14ac:dyDescent="0.35">
      <c r="A64" s="546"/>
      <c r="B64" s="546"/>
      <c r="C64" s="547"/>
      <c r="D64" s="547"/>
      <c r="E64" s="547"/>
      <c r="F64" s="548" t="s">
        <v>324</v>
      </c>
      <c r="G64" s="549">
        <v>1</v>
      </c>
      <c r="H64" s="550">
        <v>75872</v>
      </c>
      <c r="I64" s="551">
        <f t="shared" si="1"/>
        <v>75872</v>
      </c>
      <c r="J64" s="546" t="s">
        <v>65</v>
      </c>
      <c r="K64" s="664" t="s">
        <v>1167</v>
      </c>
      <c r="L64" s="546" t="s">
        <v>517</v>
      </c>
    </row>
    <row r="65" spans="1:12" s="552" customFormat="1" ht="27" customHeight="1" x14ac:dyDescent="0.35">
      <c r="A65" s="546"/>
      <c r="B65" s="546"/>
      <c r="C65" s="547"/>
      <c r="D65" s="547"/>
      <c r="E65" s="547"/>
      <c r="F65" s="548" t="s">
        <v>325</v>
      </c>
      <c r="G65" s="549">
        <v>1</v>
      </c>
      <c r="H65" s="550">
        <v>96190</v>
      </c>
      <c r="I65" s="551">
        <f t="shared" si="1"/>
        <v>96190</v>
      </c>
      <c r="J65" s="546" t="s">
        <v>65</v>
      </c>
      <c r="K65" s="664" t="s">
        <v>1167</v>
      </c>
      <c r="L65" s="546" t="s">
        <v>517</v>
      </c>
    </row>
    <row r="66" spans="1:12" s="552" customFormat="1" ht="27" customHeight="1" x14ac:dyDescent="0.35">
      <c r="A66" s="546"/>
      <c r="B66" s="546"/>
      <c r="C66" s="547"/>
      <c r="D66" s="547"/>
      <c r="E66" s="547"/>
      <c r="F66" s="548" t="s">
        <v>326</v>
      </c>
      <c r="G66" s="549">
        <v>1</v>
      </c>
      <c r="H66" s="550">
        <v>45438</v>
      </c>
      <c r="I66" s="551">
        <f t="shared" ref="I66:I96" si="2">G66*H66</f>
        <v>45438</v>
      </c>
      <c r="J66" s="546" t="s">
        <v>65</v>
      </c>
      <c r="K66" s="664" t="s">
        <v>1167</v>
      </c>
      <c r="L66" s="546"/>
    </row>
    <row r="67" spans="1:12" s="552" customFormat="1" ht="27" customHeight="1" x14ac:dyDescent="0.35">
      <c r="A67" s="546"/>
      <c r="B67" s="546"/>
      <c r="C67" s="547"/>
      <c r="D67" s="547"/>
      <c r="E67" s="547"/>
      <c r="F67" s="548" t="s">
        <v>327</v>
      </c>
      <c r="G67" s="549">
        <v>2</v>
      </c>
      <c r="H67" s="550">
        <v>18044</v>
      </c>
      <c r="I67" s="551">
        <f t="shared" si="2"/>
        <v>36088</v>
      </c>
      <c r="J67" s="546" t="s">
        <v>65</v>
      </c>
      <c r="K67" s="664" t="s">
        <v>1167</v>
      </c>
      <c r="L67" s="546"/>
    </row>
    <row r="68" spans="1:12" s="552" customFormat="1" ht="27" customHeight="1" x14ac:dyDescent="0.35">
      <c r="A68" s="546"/>
      <c r="B68" s="546"/>
      <c r="C68" s="547"/>
      <c r="D68" s="547"/>
      <c r="E68" s="547"/>
      <c r="F68" s="548" t="s">
        <v>328</v>
      </c>
      <c r="G68" s="549">
        <v>1</v>
      </c>
      <c r="H68" s="550">
        <v>24829</v>
      </c>
      <c r="I68" s="551">
        <f t="shared" si="2"/>
        <v>24829</v>
      </c>
      <c r="J68" s="546" t="s">
        <v>65</v>
      </c>
      <c r="K68" s="664" t="s">
        <v>1167</v>
      </c>
      <c r="L68" s="546"/>
    </row>
    <row r="69" spans="1:12" s="552" customFormat="1" ht="27" customHeight="1" x14ac:dyDescent="0.35">
      <c r="A69" s="546"/>
      <c r="B69" s="546"/>
      <c r="C69" s="547"/>
      <c r="D69" s="547"/>
      <c r="E69" s="547"/>
      <c r="F69" s="548" t="s">
        <v>865</v>
      </c>
      <c r="G69" s="549">
        <v>1</v>
      </c>
      <c r="H69" s="550">
        <v>4798</v>
      </c>
      <c r="I69" s="551">
        <f t="shared" si="2"/>
        <v>4798</v>
      </c>
      <c r="J69" s="546" t="s">
        <v>697</v>
      </c>
      <c r="K69" s="546" t="s">
        <v>1167</v>
      </c>
      <c r="L69" s="546"/>
    </row>
    <row r="70" spans="1:12" s="552" customFormat="1" ht="27" customHeight="1" x14ac:dyDescent="0.35">
      <c r="A70" s="546">
        <v>16</v>
      </c>
      <c r="B70" s="546" t="s">
        <v>335</v>
      </c>
      <c r="C70" s="547" t="s">
        <v>106</v>
      </c>
      <c r="D70" s="547" t="s">
        <v>322</v>
      </c>
      <c r="E70" s="547"/>
      <c r="F70" s="548" t="s">
        <v>334</v>
      </c>
      <c r="G70" s="549">
        <v>1</v>
      </c>
      <c r="H70" s="550">
        <v>351008</v>
      </c>
      <c r="I70" s="551">
        <f t="shared" si="2"/>
        <v>351008</v>
      </c>
      <c r="J70" s="546" t="s">
        <v>746</v>
      </c>
      <c r="K70" s="664" t="s">
        <v>1167</v>
      </c>
      <c r="L70" s="546"/>
    </row>
    <row r="71" spans="1:12" s="267" customFormat="1" ht="27" customHeight="1" x14ac:dyDescent="0.35">
      <c r="A71" s="262">
        <v>17</v>
      </c>
      <c r="B71" s="262" t="s">
        <v>332</v>
      </c>
      <c r="C71" s="263" t="s">
        <v>330</v>
      </c>
      <c r="D71" s="263" t="s">
        <v>331</v>
      </c>
      <c r="E71" s="263"/>
      <c r="F71" s="278" t="s">
        <v>329</v>
      </c>
      <c r="G71" s="279">
        <v>2</v>
      </c>
      <c r="H71" s="284">
        <v>459916</v>
      </c>
      <c r="I71" s="265">
        <f t="shared" si="2"/>
        <v>919832</v>
      </c>
      <c r="J71" s="262" t="s">
        <v>65</v>
      </c>
      <c r="K71" s="262" t="s">
        <v>1167</v>
      </c>
      <c r="L71" s="262"/>
    </row>
    <row r="72" spans="1:12" s="552" customFormat="1" ht="27.65" customHeight="1" x14ac:dyDescent="0.35">
      <c r="A72" s="546"/>
      <c r="B72" s="546"/>
      <c r="C72" s="547"/>
      <c r="D72" s="547"/>
      <c r="E72" s="547"/>
      <c r="F72" s="548" t="s">
        <v>333</v>
      </c>
      <c r="G72" s="549">
        <v>1</v>
      </c>
      <c r="H72" s="550">
        <v>152474</v>
      </c>
      <c r="I72" s="551">
        <f t="shared" si="2"/>
        <v>152474</v>
      </c>
      <c r="J72" s="546" t="s">
        <v>65</v>
      </c>
      <c r="K72" s="664" t="s">
        <v>1167</v>
      </c>
      <c r="L72" s="546"/>
    </row>
    <row r="73" spans="1:12" s="552" customFormat="1" ht="27" customHeight="1" x14ac:dyDescent="0.35">
      <c r="A73" s="546">
        <v>18</v>
      </c>
      <c r="B73" s="546" t="s">
        <v>336</v>
      </c>
      <c r="C73" s="547" t="s">
        <v>330</v>
      </c>
      <c r="D73" s="547" t="s">
        <v>331</v>
      </c>
      <c r="E73" s="547"/>
      <c r="F73" s="548" t="s">
        <v>337</v>
      </c>
      <c r="G73" s="549">
        <v>2</v>
      </c>
      <c r="H73" s="550">
        <v>9600</v>
      </c>
      <c r="I73" s="551">
        <f t="shared" si="2"/>
        <v>19200</v>
      </c>
      <c r="J73" s="546" t="s">
        <v>65</v>
      </c>
      <c r="K73" s="664" t="s">
        <v>1167</v>
      </c>
      <c r="L73" s="546" t="s">
        <v>517</v>
      </c>
    </row>
    <row r="74" spans="1:12" s="552" customFormat="1" ht="27" customHeight="1" x14ac:dyDescent="0.35">
      <c r="A74" s="546"/>
      <c r="B74" s="546"/>
      <c r="C74" s="547"/>
      <c r="D74" s="547"/>
      <c r="E74" s="547"/>
      <c r="F74" s="548" t="s">
        <v>338</v>
      </c>
      <c r="G74" s="549">
        <v>2</v>
      </c>
      <c r="H74" s="550">
        <v>4769</v>
      </c>
      <c r="I74" s="551">
        <f t="shared" si="2"/>
        <v>9538</v>
      </c>
      <c r="J74" s="546" t="s">
        <v>65</v>
      </c>
      <c r="K74" s="664" t="s">
        <v>1167</v>
      </c>
      <c r="L74" s="546" t="s">
        <v>517</v>
      </c>
    </row>
    <row r="75" spans="1:12" s="552" customFormat="1" ht="27" customHeight="1" x14ac:dyDescent="0.35">
      <c r="A75" s="546"/>
      <c r="B75" s="546"/>
      <c r="C75" s="547"/>
      <c r="D75" s="547"/>
      <c r="E75" s="547"/>
      <c r="F75" s="548" t="s">
        <v>339</v>
      </c>
      <c r="G75" s="549">
        <v>2</v>
      </c>
      <c r="H75" s="550">
        <v>4988</v>
      </c>
      <c r="I75" s="551">
        <f t="shared" si="2"/>
        <v>9976</v>
      </c>
      <c r="J75" s="546" t="s">
        <v>65</v>
      </c>
      <c r="K75" s="664" t="s">
        <v>1167</v>
      </c>
      <c r="L75" s="546" t="s">
        <v>517</v>
      </c>
    </row>
    <row r="76" spans="1:12" s="552" customFormat="1" ht="27" customHeight="1" x14ac:dyDescent="0.35">
      <c r="A76" s="546"/>
      <c r="B76" s="546"/>
      <c r="C76" s="547"/>
      <c r="D76" s="547"/>
      <c r="E76" s="547"/>
      <c r="F76" s="548" t="s">
        <v>340</v>
      </c>
      <c r="G76" s="549">
        <v>2</v>
      </c>
      <c r="H76" s="550">
        <v>185720</v>
      </c>
      <c r="I76" s="551">
        <f t="shared" si="2"/>
        <v>371440</v>
      </c>
      <c r="J76" s="546" t="s">
        <v>65</v>
      </c>
      <c r="K76" s="664" t="s">
        <v>1167</v>
      </c>
      <c r="L76" s="546"/>
    </row>
    <row r="77" spans="1:12" s="369" customFormat="1" ht="27" customHeight="1" x14ac:dyDescent="0.35">
      <c r="A77" s="365">
        <v>19</v>
      </c>
      <c r="B77" s="365" t="s">
        <v>341</v>
      </c>
      <c r="C77" s="366" t="s">
        <v>330</v>
      </c>
      <c r="D77" s="366">
        <v>0.87807870370370367</v>
      </c>
      <c r="E77" s="366"/>
      <c r="F77" s="410" t="s">
        <v>342</v>
      </c>
      <c r="G77" s="411">
        <v>5</v>
      </c>
      <c r="H77" s="412">
        <v>20250</v>
      </c>
      <c r="I77" s="413">
        <f t="shared" si="2"/>
        <v>101250</v>
      </c>
      <c r="J77" s="414" t="s">
        <v>81</v>
      </c>
      <c r="K77" s="262" t="s">
        <v>1167</v>
      </c>
      <c r="L77" s="365"/>
    </row>
    <row r="78" spans="1:12" s="463" customFormat="1" ht="27" customHeight="1" x14ac:dyDescent="0.35">
      <c r="A78" s="458">
        <v>20</v>
      </c>
      <c r="B78" s="458" t="s">
        <v>860</v>
      </c>
      <c r="C78" s="459" t="s">
        <v>357</v>
      </c>
      <c r="D78" s="459" t="s">
        <v>173</v>
      </c>
      <c r="E78" s="459"/>
      <c r="F78" s="460" t="s">
        <v>343</v>
      </c>
      <c r="G78" s="461">
        <v>2</v>
      </c>
      <c r="H78" s="488">
        <v>446882</v>
      </c>
      <c r="I78" s="462">
        <f t="shared" si="2"/>
        <v>893764</v>
      </c>
      <c r="J78" s="458" t="s">
        <v>65</v>
      </c>
      <c r="K78" s="458" t="s">
        <v>1167</v>
      </c>
      <c r="L78" s="458"/>
    </row>
    <row r="79" spans="1:12" s="272" customFormat="1" ht="27" customHeight="1" x14ac:dyDescent="0.35">
      <c r="A79" s="268"/>
      <c r="B79" s="268"/>
      <c r="C79" s="269"/>
      <c r="D79" s="269"/>
      <c r="E79" s="269"/>
      <c r="F79" s="293" t="s">
        <v>344</v>
      </c>
      <c r="G79" s="294">
        <v>4</v>
      </c>
      <c r="H79" s="295">
        <v>231025</v>
      </c>
      <c r="I79" s="270">
        <f t="shared" si="2"/>
        <v>924100</v>
      </c>
      <c r="J79" s="268" t="s">
        <v>65</v>
      </c>
      <c r="K79" s="262" t="s">
        <v>1167</v>
      </c>
      <c r="L79" s="268"/>
    </row>
    <row r="80" spans="1:12" s="369" customFormat="1" ht="27" customHeight="1" x14ac:dyDescent="0.35">
      <c r="A80" s="365"/>
      <c r="B80" s="365"/>
      <c r="C80" s="366"/>
      <c r="D80" s="366"/>
      <c r="E80" s="366"/>
      <c r="F80" s="367" t="s">
        <v>345</v>
      </c>
      <c r="G80" s="368">
        <v>2</v>
      </c>
      <c r="H80" s="285">
        <v>655875</v>
      </c>
      <c r="I80" s="274">
        <f t="shared" si="2"/>
        <v>1311750</v>
      </c>
      <c r="J80" s="365" t="s">
        <v>65</v>
      </c>
      <c r="K80" s="262" t="s">
        <v>1167</v>
      </c>
      <c r="L80" s="365"/>
    </row>
    <row r="81" spans="1:12" s="292" customFormat="1" ht="27" customHeight="1" x14ac:dyDescent="0.35">
      <c r="A81" s="286">
        <v>23</v>
      </c>
      <c r="B81" s="286" t="s">
        <v>403</v>
      </c>
      <c r="C81" s="287">
        <v>0.50099537037037034</v>
      </c>
      <c r="D81" s="287">
        <v>0.50377314814814811</v>
      </c>
      <c r="E81" s="287"/>
      <c r="F81" s="288" t="s">
        <v>404</v>
      </c>
      <c r="G81" s="289">
        <v>10</v>
      </c>
      <c r="H81" s="290">
        <v>13500</v>
      </c>
      <c r="I81" s="291">
        <f t="shared" si="2"/>
        <v>135000</v>
      </c>
      <c r="J81" s="286" t="s">
        <v>407</v>
      </c>
      <c r="K81" s="262" t="s">
        <v>1167</v>
      </c>
      <c r="L81" s="286"/>
    </row>
    <row r="82" spans="1:12" s="272" customFormat="1" ht="27" customHeight="1" x14ac:dyDescent="0.35">
      <c r="A82" s="268"/>
      <c r="B82" s="268"/>
      <c r="C82" s="269"/>
      <c r="D82" s="269"/>
      <c r="E82" s="269"/>
      <c r="F82" s="293" t="s">
        <v>405</v>
      </c>
      <c r="G82" s="294">
        <v>2</v>
      </c>
      <c r="H82" s="295">
        <v>60500</v>
      </c>
      <c r="I82" s="270">
        <f t="shared" si="2"/>
        <v>121000</v>
      </c>
      <c r="J82" s="268" t="s">
        <v>407</v>
      </c>
      <c r="K82" s="262" t="s">
        <v>1167</v>
      </c>
      <c r="L82" s="268"/>
    </row>
    <row r="83" spans="1:12" s="292" customFormat="1" ht="27" customHeight="1" x14ac:dyDescent="0.35">
      <c r="A83" s="286"/>
      <c r="B83" s="286"/>
      <c r="C83" s="287"/>
      <c r="D83" s="287"/>
      <c r="E83" s="287"/>
      <c r="F83" s="288" t="s">
        <v>406</v>
      </c>
      <c r="G83" s="289">
        <v>2</v>
      </c>
      <c r="H83" s="290">
        <v>13871</v>
      </c>
      <c r="I83" s="291">
        <f t="shared" si="2"/>
        <v>27742</v>
      </c>
      <c r="J83" s="286" t="s">
        <v>143</v>
      </c>
      <c r="K83" s="262" t="s">
        <v>1167</v>
      </c>
      <c r="L83" s="286"/>
    </row>
    <row r="84" spans="1:12" s="272" customFormat="1" ht="27" customHeight="1" x14ac:dyDescent="0.35">
      <c r="A84" s="268">
        <v>24</v>
      </c>
      <c r="B84" s="268" t="s">
        <v>413</v>
      </c>
      <c r="C84" s="269">
        <v>0.54266203703703708</v>
      </c>
      <c r="D84" s="269">
        <v>0.54613425925925929</v>
      </c>
      <c r="E84" s="269"/>
      <c r="F84" s="293" t="s">
        <v>414</v>
      </c>
      <c r="G84" s="294">
        <v>1</v>
      </c>
      <c r="H84" s="295">
        <v>8628</v>
      </c>
      <c r="I84" s="270">
        <f t="shared" si="2"/>
        <v>8628</v>
      </c>
      <c r="J84" s="268" t="s">
        <v>127</v>
      </c>
      <c r="K84" s="262" t="s">
        <v>1167</v>
      </c>
      <c r="L84" s="268"/>
    </row>
    <row r="85" spans="1:12" s="292" customFormat="1" ht="27" customHeight="1" x14ac:dyDescent="0.35">
      <c r="A85" s="286"/>
      <c r="B85" s="286"/>
      <c r="C85" s="287"/>
      <c r="D85" s="287"/>
      <c r="E85" s="287"/>
      <c r="F85" s="288" t="s">
        <v>415</v>
      </c>
      <c r="G85" s="289">
        <v>1</v>
      </c>
      <c r="H85" s="290">
        <v>18549</v>
      </c>
      <c r="I85" s="291">
        <f t="shared" si="2"/>
        <v>18549</v>
      </c>
      <c r="J85" s="286" t="s">
        <v>127</v>
      </c>
      <c r="K85" s="262" t="s">
        <v>1167</v>
      </c>
      <c r="L85" s="286"/>
    </row>
    <row r="86" spans="1:12" s="292" customFormat="1" ht="27" customHeight="1" x14ac:dyDescent="0.35">
      <c r="A86" s="286">
        <v>25</v>
      </c>
      <c r="B86" s="286" t="s">
        <v>416</v>
      </c>
      <c r="C86" s="287">
        <v>0.58432870370370371</v>
      </c>
      <c r="D86" s="287">
        <v>4.6828703703703706E-2</v>
      </c>
      <c r="E86" s="287"/>
      <c r="F86" s="288" t="s">
        <v>419</v>
      </c>
      <c r="G86" s="289">
        <v>2</v>
      </c>
      <c r="H86" s="290">
        <v>1749652</v>
      </c>
      <c r="I86" s="291">
        <f t="shared" si="2"/>
        <v>3499304</v>
      </c>
      <c r="J86" s="286" t="s">
        <v>127</v>
      </c>
      <c r="K86" s="262" t="s">
        <v>1167</v>
      </c>
      <c r="L86" s="286"/>
    </row>
    <row r="87" spans="1:12" s="272" customFormat="1" ht="27" customHeight="1" x14ac:dyDescent="0.35">
      <c r="A87" s="268">
        <v>26</v>
      </c>
      <c r="B87" s="268" t="s">
        <v>426</v>
      </c>
      <c r="C87" s="269">
        <v>0.58432870370370371</v>
      </c>
      <c r="D87" s="269">
        <v>0.58710648148148148</v>
      </c>
      <c r="E87" s="269"/>
      <c r="F87" s="293" t="s">
        <v>423</v>
      </c>
      <c r="G87" s="294">
        <v>2</v>
      </c>
      <c r="H87" s="295">
        <v>192400</v>
      </c>
      <c r="I87" s="270">
        <f t="shared" si="2"/>
        <v>384800</v>
      </c>
      <c r="J87" s="268" t="s">
        <v>647</v>
      </c>
      <c r="K87" s="262" t="s">
        <v>1167</v>
      </c>
      <c r="L87" s="268" t="s">
        <v>66</v>
      </c>
    </row>
    <row r="88" spans="1:12" s="267" customFormat="1" ht="27" customHeight="1" x14ac:dyDescent="0.35">
      <c r="A88" s="262">
        <v>27</v>
      </c>
      <c r="B88" s="262" t="s">
        <v>427</v>
      </c>
      <c r="C88" s="263">
        <v>0.58432870370370371</v>
      </c>
      <c r="D88" s="263">
        <v>0.54613425925925929</v>
      </c>
      <c r="E88" s="263"/>
      <c r="F88" s="278" t="s">
        <v>428</v>
      </c>
      <c r="G88" s="279">
        <v>2</v>
      </c>
      <c r="H88" s="284">
        <v>671000</v>
      </c>
      <c r="I88" s="265">
        <f t="shared" si="2"/>
        <v>1342000</v>
      </c>
      <c r="J88" s="262" t="s">
        <v>65</v>
      </c>
      <c r="K88" s="262" t="s">
        <v>1167</v>
      </c>
      <c r="L88" s="262"/>
    </row>
    <row r="89" spans="1:12" s="272" customFormat="1" ht="27" customHeight="1" x14ac:dyDescent="0.35">
      <c r="A89" s="268">
        <v>29</v>
      </c>
      <c r="B89" s="268" t="s">
        <v>439</v>
      </c>
      <c r="C89" s="269">
        <v>0.79266203703703697</v>
      </c>
      <c r="D89" s="269">
        <v>0.37946759259259261</v>
      </c>
      <c r="E89" s="269"/>
      <c r="F89" s="293" t="s">
        <v>440</v>
      </c>
      <c r="G89" s="294">
        <v>2</v>
      </c>
      <c r="H89" s="295">
        <v>23625</v>
      </c>
      <c r="I89" s="270">
        <f t="shared" si="2"/>
        <v>47250</v>
      </c>
      <c r="J89" s="268" t="s">
        <v>389</v>
      </c>
      <c r="K89" s="262" t="s">
        <v>1167</v>
      </c>
      <c r="L89" s="302" t="s">
        <v>512</v>
      </c>
    </row>
    <row r="90" spans="1:12" s="267" customFormat="1" ht="27" customHeight="1" x14ac:dyDescent="0.35">
      <c r="A90" s="262">
        <v>30</v>
      </c>
      <c r="B90" s="262" t="s">
        <v>441</v>
      </c>
      <c r="C90" s="263">
        <v>0.79266203703703697</v>
      </c>
      <c r="D90" s="263" t="s">
        <v>442</v>
      </c>
      <c r="E90" s="263"/>
      <c r="F90" s="278" t="s">
        <v>443</v>
      </c>
      <c r="G90" s="279">
        <v>6</v>
      </c>
      <c r="H90" s="284">
        <v>72918</v>
      </c>
      <c r="I90" s="265">
        <f t="shared" si="2"/>
        <v>437508</v>
      </c>
      <c r="J90" s="262" t="s">
        <v>54</v>
      </c>
      <c r="K90" s="262" t="s">
        <v>1167</v>
      </c>
      <c r="L90" s="262"/>
    </row>
    <row r="91" spans="1:12" s="552" customFormat="1" ht="27" customHeight="1" x14ac:dyDescent="0.35">
      <c r="A91" s="546">
        <v>31</v>
      </c>
      <c r="B91" s="546" t="s">
        <v>491</v>
      </c>
      <c r="C91" s="547" t="s">
        <v>158</v>
      </c>
      <c r="D91" s="547">
        <v>0.75307870370370367</v>
      </c>
      <c r="E91" s="547" t="s">
        <v>804</v>
      </c>
      <c r="F91" s="548" t="s">
        <v>492</v>
      </c>
      <c r="G91" s="549">
        <v>8</v>
      </c>
      <c r="H91" s="550">
        <v>109500</v>
      </c>
      <c r="I91" s="551">
        <f t="shared" si="2"/>
        <v>876000</v>
      </c>
      <c r="J91" s="546" t="s">
        <v>493</v>
      </c>
      <c r="K91" s="546" t="s">
        <v>1167</v>
      </c>
      <c r="L91" s="546"/>
    </row>
    <row r="92" spans="1:12" s="267" customFormat="1" ht="27" customHeight="1" x14ac:dyDescent="0.35">
      <c r="A92" s="262">
        <v>33</v>
      </c>
      <c r="B92" s="262" t="s">
        <v>501</v>
      </c>
      <c r="C92" s="263" t="s">
        <v>356</v>
      </c>
      <c r="D92" s="263">
        <v>0.33780092592592598</v>
      </c>
      <c r="E92" s="263"/>
      <c r="F92" s="278" t="s">
        <v>502</v>
      </c>
      <c r="G92" s="279">
        <v>1</v>
      </c>
      <c r="H92" s="284">
        <v>150800</v>
      </c>
      <c r="I92" s="265">
        <f t="shared" si="2"/>
        <v>150800</v>
      </c>
      <c r="J92" s="262" t="s">
        <v>54</v>
      </c>
      <c r="K92" s="262" t="s">
        <v>1167</v>
      </c>
      <c r="L92" s="262"/>
    </row>
    <row r="93" spans="1:12" s="53" customFormat="1" ht="27" customHeight="1" x14ac:dyDescent="0.35">
      <c r="A93" s="262">
        <v>34</v>
      </c>
      <c r="B93" s="262" t="s">
        <v>541</v>
      </c>
      <c r="C93" s="263" t="s">
        <v>356</v>
      </c>
      <c r="D93" s="263" t="s">
        <v>542</v>
      </c>
      <c r="E93" s="263"/>
      <c r="F93" s="407" t="s">
        <v>535</v>
      </c>
      <c r="G93" s="408">
        <v>2</v>
      </c>
      <c r="H93" s="409">
        <v>7287</v>
      </c>
      <c r="I93" s="402">
        <f t="shared" si="2"/>
        <v>14574</v>
      </c>
      <c r="J93" s="401" t="s">
        <v>127</v>
      </c>
      <c r="K93" s="262" t="s">
        <v>1167</v>
      </c>
      <c r="L93" s="266"/>
    </row>
    <row r="94" spans="1:12" s="554" customFormat="1" ht="27" customHeight="1" x14ac:dyDescent="0.35">
      <c r="A94" s="546"/>
      <c r="B94" s="546"/>
      <c r="C94" s="547"/>
      <c r="D94" s="665">
        <v>0.33780092592592598</v>
      </c>
      <c r="E94" s="547"/>
      <c r="F94" s="548" t="s">
        <v>526</v>
      </c>
      <c r="G94" s="549">
        <v>3</v>
      </c>
      <c r="H94" s="550">
        <v>9438</v>
      </c>
      <c r="I94" s="551">
        <f t="shared" si="2"/>
        <v>28314</v>
      </c>
      <c r="J94" s="546" t="s">
        <v>127</v>
      </c>
      <c r="K94" s="664" t="s">
        <v>1167</v>
      </c>
      <c r="L94" s="555" t="s">
        <v>66</v>
      </c>
    </row>
    <row r="95" spans="1:12" s="554" customFormat="1" ht="27" customHeight="1" x14ac:dyDescent="0.35">
      <c r="A95" s="546"/>
      <c r="B95" s="546"/>
      <c r="C95" s="547"/>
      <c r="D95" s="665">
        <v>0.33780092592592598</v>
      </c>
      <c r="E95" s="547"/>
      <c r="F95" s="548" t="s">
        <v>527</v>
      </c>
      <c r="G95" s="549">
        <v>2</v>
      </c>
      <c r="H95" s="550">
        <v>10016</v>
      </c>
      <c r="I95" s="551">
        <f t="shared" si="2"/>
        <v>20032</v>
      </c>
      <c r="J95" s="546" t="s">
        <v>127</v>
      </c>
      <c r="K95" s="664" t="s">
        <v>1167</v>
      </c>
      <c r="L95" s="555" t="s">
        <v>66</v>
      </c>
    </row>
    <row r="96" spans="1:12" s="554" customFormat="1" ht="27" customHeight="1" x14ac:dyDescent="0.35">
      <c r="A96" s="546"/>
      <c r="B96" s="546"/>
      <c r="C96" s="547"/>
      <c r="D96" s="665">
        <v>0.33780092592592598</v>
      </c>
      <c r="E96" s="547"/>
      <c r="F96" s="548" t="s">
        <v>528</v>
      </c>
      <c r="G96" s="549">
        <v>5</v>
      </c>
      <c r="H96" s="550">
        <v>10529</v>
      </c>
      <c r="I96" s="551">
        <f t="shared" si="2"/>
        <v>52645</v>
      </c>
      <c r="J96" s="546" t="s">
        <v>127</v>
      </c>
      <c r="K96" s="664" t="s">
        <v>1167</v>
      </c>
      <c r="L96" s="555" t="s">
        <v>66</v>
      </c>
    </row>
    <row r="97" spans="1:12" s="554" customFormat="1" ht="27" customHeight="1" x14ac:dyDescent="0.35">
      <c r="A97" s="546"/>
      <c r="B97" s="546"/>
      <c r="C97" s="547"/>
      <c r="D97" s="665">
        <v>0.33780092592592598</v>
      </c>
      <c r="E97" s="547"/>
      <c r="F97" s="548" t="s">
        <v>529</v>
      </c>
      <c r="G97" s="549">
        <v>2</v>
      </c>
      <c r="H97" s="550">
        <v>6101</v>
      </c>
      <c r="I97" s="551">
        <f t="shared" ref="I97:I117" si="3">G97*H97</f>
        <v>12202</v>
      </c>
      <c r="J97" s="546" t="s">
        <v>127</v>
      </c>
      <c r="K97" s="664" t="s">
        <v>1167</v>
      </c>
      <c r="L97" s="555" t="s">
        <v>66</v>
      </c>
    </row>
    <row r="98" spans="1:12" s="554" customFormat="1" ht="27" customHeight="1" x14ac:dyDescent="0.35">
      <c r="A98" s="546"/>
      <c r="B98" s="546"/>
      <c r="C98" s="547"/>
      <c r="D98" s="665">
        <v>0.33780092592592598</v>
      </c>
      <c r="E98" s="547"/>
      <c r="F98" s="548" t="s">
        <v>530</v>
      </c>
      <c r="G98" s="549">
        <v>3</v>
      </c>
      <c r="H98" s="550">
        <v>7635</v>
      </c>
      <c r="I98" s="551">
        <f t="shared" si="3"/>
        <v>22905</v>
      </c>
      <c r="J98" s="546" t="s">
        <v>127</v>
      </c>
      <c r="K98" s="664" t="s">
        <v>1167</v>
      </c>
      <c r="L98" s="555" t="s">
        <v>66</v>
      </c>
    </row>
    <row r="99" spans="1:12" s="554" customFormat="1" ht="27" customHeight="1" x14ac:dyDescent="0.35">
      <c r="A99" s="546"/>
      <c r="B99" s="546"/>
      <c r="C99" s="547"/>
      <c r="D99" s="665">
        <v>0.33780092592592598</v>
      </c>
      <c r="E99" s="547"/>
      <c r="F99" s="548" t="s">
        <v>531</v>
      </c>
      <c r="G99" s="549">
        <v>3</v>
      </c>
      <c r="H99" s="550">
        <v>5302</v>
      </c>
      <c r="I99" s="551">
        <f t="shared" si="3"/>
        <v>15906</v>
      </c>
      <c r="J99" s="546" t="s">
        <v>127</v>
      </c>
      <c r="K99" s="664" t="s">
        <v>1167</v>
      </c>
      <c r="L99" s="555" t="s">
        <v>66</v>
      </c>
    </row>
    <row r="100" spans="1:12" s="554" customFormat="1" ht="27" customHeight="1" x14ac:dyDescent="0.35">
      <c r="A100" s="546"/>
      <c r="B100" s="546"/>
      <c r="C100" s="547"/>
      <c r="D100" s="665">
        <v>0.33780092592592598</v>
      </c>
      <c r="E100" s="547"/>
      <c r="F100" s="548" t="s">
        <v>532</v>
      </c>
      <c r="G100" s="549">
        <v>5</v>
      </c>
      <c r="H100" s="550">
        <v>11505</v>
      </c>
      <c r="I100" s="551">
        <f t="shared" si="3"/>
        <v>57525</v>
      </c>
      <c r="J100" s="546" t="s">
        <v>127</v>
      </c>
      <c r="K100" s="664" t="s">
        <v>1167</v>
      </c>
      <c r="L100" s="555" t="s">
        <v>66</v>
      </c>
    </row>
    <row r="101" spans="1:12" s="554" customFormat="1" ht="27" customHeight="1" x14ac:dyDescent="0.35">
      <c r="A101" s="546"/>
      <c r="B101" s="546"/>
      <c r="C101" s="547"/>
      <c r="D101" s="665">
        <v>0.33780092592592598</v>
      </c>
      <c r="E101" s="547"/>
      <c r="F101" s="548" t="s">
        <v>533</v>
      </c>
      <c r="G101" s="549">
        <v>6</v>
      </c>
      <c r="H101" s="550">
        <v>11505</v>
      </c>
      <c r="I101" s="551">
        <f t="shared" si="3"/>
        <v>69030</v>
      </c>
      <c r="J101" s="546" t="s">
        <v>127</v>
      </c>
      <c r="K101" s="664" t="s">
        <v>1167</v>
      </c>
      <c r="L101" s="555" t="s">
        <v>66</v>
      </c>
    </row>
    <row r="102" spans="1:12" s="554" customFormat="1" ht="27" customHeight="1" x14ac:dyDescent="0.35">
      <c r="A102" s="546"/>
      <c r="B102" s="546"/>
      <c r="C102" s="547"/>
      <c r="D102" s="665">
        <v>0.33780092592592598</v>
      </c>
      <c r="E102" s="547"/>
      <c r="F102" s="548" t="s">
        <v>534</v>
      </c>
      <c r="G102" s="549">
        <v>2</v>
      </c>
      <c r="H102" s="550">
        <v>6113</v>
      </c>
      <c r="I102" s="551">
        <f t="shared" si="3"/>
        <v>12226</v>
      </c>
      <c r="J102" s="546" t="s">
        <v>127</v>
      </c>
      <c r="K102" s="664" t="s">
        <v>1167</v>
      </c>
      <c r="L102" s="555" t="s">
        <v>66</v>
      </c>
    </row>
    <row r="103" spans="1:12" s="53" customFormat="1" ht="27" customHeight="1" x14ac:dyDescent="0.35">
      <c r="A103" s="262">
        <v>35</v>
      </c>
      <c r="B103" s="262" t="s">
        <v>599</v>
      </c>
      <c r="C103" s="263" t="s">
        <v>141</v>
      </c>
      <c r="D103" s="263" t="s">
        <v>544</v>
      </c>
      <c r="E103" s="263" t="s">
        <v>548</v>
      </c>
      <c r="F103" s="278" t="s">
        <v>545</v>
      </c>
      <c r="G103" s="279">
        <v>1</v>
      </c>
      <c r="H103" s="284">
        <v>164052</v>
      </c>
      <c r="I103" s="265">
        <f t="shared" si="3"/>
        <v>164052</v>
      </c>
      <c r="J103" s="262" t="s">
        <v>65</v>
      </c>
      <c r="K103" s="262" t="s">
        <v>1167</v>
      </c>
      <c r="L103" s="266"/>
    </row>
    <row r="104" spans="1:12" s="272" customFormat="1" ht="27" customHeight="1" x14ac:dyDescent="0.35">
      <c r="A104" s="268">
        <v>36</v>
      </c>
      <c r="B104" s="268" t="s">
        <v>549</v>
      </c>
      <c r="C104" s="269" t="s">
        <v>191</v>
      </c>
      <c r="D104" s="269">
        <v>0.62946759259259266</v>
      </c>
      <c r="E104" s="269"/>
      <c r="F104" s="293" t="s">
        <v>473</v>
      </c>
      <c r="G104" s="294">
        <v>2</v>
      </c>
      <c r="H104" s="295">
        <v>130710</v>
      </c>
      <c r="I104" s="270">
        <f t="shared" si="3"/>
        <v>261420</v>
      </c>
      <c r="J104" s="268" t="s">
        <v>65</v>
      </c>
      <c r="K104" s="262" t="s">
        <v>1167</v>
      </c>
      <c r="L104" s="268" t="s">
        <v>697</v>
      </c>
    </row>
    <row r="105" spans="1:12" s="53" customFormat="1" ht="27" customHeight="1" x14ac:dyDescent="0.35">
      <c r="A105" s="262">
        <v>37</v>
      </c>
      <c r="B105" s="262" t="s">
        <v>803</v>
      </c>
      <c r="C105" s="287" t="s">
        <v>191</v>
      </c>
      <c r="D105" s="263">
        <v>0.42113425925925929</v>
      </c>
      <c r="E105" s="263" t="s">
        <v>560</v>
      </c>
      <c r="F105" s="278" t="s">
        <v>557</v>
      </c>
      <c r="G105" s="279">
        <v>17</v>
      </c>
      <c r="H105" s="284">
        <v>35500</v>
      </c>
      <c r="I105" s="265">
        <f t="shared" si="3"/>
        <v>603500</v>
      </c>
      <c r="J105" s="262" t="s">
        <v>54</v>
      </c>
      <c r="K105" s="262" t="s">
        <v>1167</v>
      </c>
      <c r="L105" s="266"/>
    </row>
    <row r="106" spans="1:12" s="267" customFormat="1" ht="27" customHeight="1" x14ac:dyDescent="0.35">
      <c r="A106" s="262">
        <v>38</v>
      </c>
      <c r="B106" s="262" t="s">
        <v>566</v>
      </c>
      <c r="C106" s="263" t="s">
        <v>191</v>
      </c>
      <c r="D106" s="263">
        <v>4.5439814814814815E-2</v>
      </c>
      <c r="E106" s="263" t="s">
        <v>567</v>
      </c>
      <c r="F106" s="278" t="s">
        <v>422</v>
      </c>
      <c r="G106" s="279">
        <f>584-450</f>
        <v>134</v>
      </c>
      <c r="H106" s="284">
        <v>1950</v>
      </c>
      <c r="I106" s="265">
        <f t="shared" si="3"/>
        <v>261300</v>
      </c>
      <c r="J106" s="262" t="s">
        <v>143</v>
      </c>
      <c r="K106" s="262" t="s">
        <v>1167</v>
      </c>
      <c r="L106" s="262"/>
    </row>
    <row r="107" spans="1:12" s="267" customFormat="1" ht="27" customHeight="1" x14ac:dyDescent="0.35">
      <c r="A107" s="262">
        <v>39</v>
      </c>
      <c r="B107" s="262" t="s">
        <v>597</v>
      </c>
      <c r="C107" s="287">
        <v>8.5023148148148153E-2</v>
      </c>
      <c r="D107" s="263">
        <v>0.50446759259259266</v>
      </c>
      <c r="E107" s="263"/>
      <c r="F107" s="278" t="s">
        <v>581</v>
      </c>
      <c r="G107" s="279">
        <v>2</v>
      </c>
      <c r="H107" s="284">
        <v>22424</v>
      </c>
      <c r="I107" s="265">
        <f t="shared" si="3"/>
        <v>44848</v>
      </c>
      <c r="J107" s="262" t="s">
        <v>143</v>
      </c>
      <c r="K107" s="262" t="s">
        <v>1167</v>
      </c>
      <c r="L107" s="262"/>
    </row>
    <row r="108" spans="1:12" s="267" customFormat="1" ht="27" customHeight="1" x14ac:dyDescent="0.35">
      <c r="A108" s="262"/>
      <c r="B108" s="262"/>
      <c r="C108" s="287"/>
      <c r="D108" s="263"/>
      <c r="E108" s="263"/>
      <c r="F108" s="278" t="s">
        <v>583</v>
      </c>
      <c r="G108" s="279">
        <v>4</v>
      </c>
      <c r="H108" s="284">
        <v>37097</v>
      </c>
      <c r="I108" s="265">
        <f t="shared" si="3"/>
        <v>148388</v>
      </c>
      <c r="J108" s="262" t="s">
        <v>143</v>
      </c>
      <c r="K108" s="262" t="s">
        <v>1167</v>
      </c>
      <c r="L108" s="262"/>
    </row>
    <row r="109" spans="1:12" s="267" customFormat="1" ht="27" customHeight="1" x14ac:dyDescent="0.35">
      <c r="A109" s="262"/>
      <c r="B109" s="262"/>
      <c r="C109" s="287"/>
      <c r="D109" s="263"/>
      <c r="E109" s="263"/>
      <c r="F109" s="278" t="s">
        <v>584</v>
      </c>
      <c r="G109" s="279">
        <v>2</v>
      </c>
      <c r="H109" s="284">
        <v>33387</v>
      </c>
      <c r="I109" s="265">
        <f t="shared" si="3"/>
        <v>66774</v>
      </c>
      <c r="J109" s="262" t="s">
        <v>143</v>
      </c>
      <c r="K109" s="262" t="s">
        <v>1167</v>
      </c>
      <c r="L109" s="262"/>
    </row>
    <row r="110" spans="1:12" s="267" customFormat="1" ht="27" customHeight="1" x14ac:dyDescent="0.35">
      <c r="A110" s="262"/>
      <c r="B110" s="262"/>
      <c r="C110" s="287"/>
      <c r="D110" s="263"/>
      <c r="E110" s="263"/>
      <c r="F110" s="278" t="s">
        <v>582</v>
      </c>
      <c r="G110" s="279">
        <v>3</v>
      </c>
      <c r="H110" s="284">
        <v>5800</v>
      </c>
      <c r="I110" s="265">
        <f t="shared" si="3"/>
        <v>17400</v>
      </c>
      <c r="J110" s="262" t="s">
        <v>143</v>
      </c>
      <c r="K110" s="262" t="s">
        <v>1167</v>
      </c>
      <c r="L110" s="262"/>
    </row>
    <row r="111" spans="1:12" s="463" customFormat="1" ht="27" customHeight="1" x14ac:dyDescent="0.35">
      <c r="A111" s="458">
        <v>40</v>
      </c>
      <c r="B111" s="458" t="s">
        <v>592</v>
      </c>
      <c r="C111" s="459">
        <v>0.1683564814814815</v>
      </c>
      <c r="D111" s="459">
        <v>0.83849537037037036</v>
      </c>
      <c r="E111" s="459"/>
      <c r="F111" s="460" t="s">
        <v>593</v>
      </c>
      <c r="G111" s="461">
        <v>2</v>
      </c>
      <c r="H111" s="488">
        <v>24820</v>
      </c>
      <c r="I111" s="462">
        <f t="shared" si="3"/>
        <v>49640</v>
      </c>
      <c r="J111" s="458" t="s">
        <v>54</v>
      </c>
      <c r="K111" s="262" t="s">
        <v>1167</v>
      </c>
      <c r="L111" s="458"/>
    </row>
    <row r="112" spans="1:12" s="53" customFormat="1" ht="27" customHeight="1" x14ac:dyDescent="0.35">
      <c r="A112" s="262">
        <v>41</v>
      </c>
      <c r="B112" s="262" t="s">
        <v>595</v>
      </c>
      <c r="C112" s="263">
        <v>0.1683564814814815</v>
      </c>
      <c r="D112" s="263">
        <v>0.83780092592592592</v>
      </c>
      <c r="E112" s="263"/>
      <c r="F112" s="278" t="s">
        <v>594</v>
      </c>
      <c r="G112" s="279">
        <v>2</v>
      </c>
      <c r="H112" s="284">
        <v>69617</v>
      </c>
      <c r="I112" s="265">
        <f t="shared" si="3"/>
        <v>139234</v>
      </c>
      <c r="J112" s="262" t="s">
        <v>65</v>
      </c>
      <c r="K112" s="262" t="s">
        <v>1167</v>
      </c>
      <c r="L112" s="266"/>
    </row>
    <row r="113" spans="1:12" s="53" customFormat="1" ht="27" customHeight="1" x14ac:dyDescent="0.35">
      <c r="A113" s="262">
        <v>43</v>
      </c>
      <c r="B113" s="262" t="s">
        <v>622</v>
      </c>
      <c r="C113" s="263">
        <v>0.41835648148148147</v>
      </c>
      <c r="D113" s="263">
        <v>0.87946759259259266</v>
      </c>
      <c r="E113" s="263"/>
      <c r="F113" s="278" t="s">
        <v>624</v>
      </c>
      <c r="G113" s="279">
        <v>9</v>
      </c>
      <c r="H113" s="284">
        <v>10906</v>
      </c>
      <c r="I113" s="265">
        <f t="shared" si="3"/>
        <v>98154</v>
      </c>
      <c r="J113" s="262" t="s">
        <v>81</v>
      </c>
      <c r="K113" s="262" t="s">
        <v>1167</v>
      </c>
      <c r="L113" s="266"/>
    </row>
    <row r="114" spans="1:12" s="267" customFormat="1" ht="27" customHeight="1" x14ac:dyDescent="0.35">
      <c r="A114" s="262"/>
      <c r="B114" s="262"/>
      <c r="C114" s="263"/>
      <c r="D114" s="263"/>
      <c r="E114" s="263"/>
      <c r="F114" s="278" t="s">
        <v>623</v>
      </c>
      <c r="G114" s="279">
        <v>3</v>
      </c>
      <c r="H114" s="284">
        <v>8270</v>
      </c>
      <c r="I114" s="265">
        <f t="shared" si="3"/>
        <v>24810</v>
      </c>
      <c r="J114" s="262" t="s">
        <v>81</v>
      </c>
      <c r="K114" s="262" t="s">
        <v>1167</v>
      </c>
      <c r="L114" s="262"/>
    </row>
    <row r="115" spans="1:12" s="267" customFormat="1" ht="27" customHeight="1" x14ac:dyDescent="0.35">
      <c r="A115" s="401">
        <v>44</v>
      </c>
      <c r="B115" s="401" t="s">
        <v>631</v>
      </c>
      <c r="C115" s="468">
        <v>0.50168981481481478</v>
      </c>
      <c r="D115" s="468">
        <v>0.5447453703703703</v>
      </c>
      <c r="E115" s="468"/>
      <c r="F115" s="407" t="s">
        <v>632</v>
      </c>
      <c r="G115" s="408">
        <v>2</v>
      </c>
      <c r="H115" s="409">
        <v>81729</v>
      </c>
      <c r="I115" s="402">
        <f t="shared" si="3"/>
        <v>163458</v>
      </c>
      <c r="J115" s="401" t="s">
        <v>35</v>
      </c>
      <c r="K115" s="262" t="s">
        <v>1171</v>
      </c>
      <c r="L115" s="262"/>
    </row>
    <row r="116" spans="1:12" s="267" customFormat="1" ht="27" customHeight="1" x14ac:dyDescent="0.35">
      <c r="A116" s="262">
        <v>45</v>
      </c>
      <c r="B116" s="262" t="s">
        <v>621</v>
      </c>
      <c r="C116" s="263">
        <v>0.50168981481481478</v>
      </c>
      <c r="D116" s="263">
        <v>0.54613425925925929</v>
      </c>
      <c r="E116" s="263"/>
      <c r="F116" s="278" t="s">
        <v>643</v>
      </c>
      <c r="G116" s="279">
        <v>1</v>
      </c>
      <c r="H116" s="284">
        <v>70500</v>
      </c>
      <c r="I116" s="265">
        <f t="shared" si="3"/>
        <v>70500</v>
      </c>
      <c r="J116" s="262" t="s">
        <v>65</v>
      </c>
      <c r="K116" s="262" t="s">
        <v>1167</v>
      </c>
      <c r="L116" s="262"/>
    </row>
    <row r="117" spans="1:12" s="267" customFormat="1" ht="27" customHeight="1" x14ac:dyDescent="0.35">
      <c r="A117" s="262"/>
      <c r="B117" s="262"/>
      <c r="C117" s="263"/>
      <c r="D117" s="263"/>
      <c r="E117" s="263"/>
      <c r="F117" s="278" t="s">
        <v>644</v>
      </c>
      <c r="G117" s="279">
        <v>1</v>
      </c>
      <c r="H117" s="284">
        <v>46500</v>
      </c>
      <c r="I117" s="265">
        <f t="shared" si="3"/>
        <v>46500</v>
      </c>
      <c r="J117" s="262" t="s">
        <v>65</v>
      </c>
      <c r="K117" s="262" t="s">
        <v>1167</v>
      </c>
      <c r="L117" s="262"/>
    </row>
    <row r="118" spans="1:12" s="267" customFormat="1" ht="27" customHeight="1" x14ac:dyDescent="0.35">
      <c r="A118" s="262">
        <v>46</v>
      </c>
      <c r="B118" s="262" t="s">
        <v>649</v>
      </c>
      <c r="C118" s="263">
        <v>0.54335648148148141</v>
      </c>
      <c r="D118" s="263">
        <v>0.75446759259259266</v>
      </c>
      <c r="E118" s="263"/>
      <c r="F118" s="278" t="s">
        <v>653</v>
      </c>
      <c r="G118" s="279">
        <v>1</v>
      </c>
      <c r="H118" s="284">
        <v>455860</v>
      </c>
      <c r="I118" s="265">
        <f t="shared" ref="I118:I140" si="4">G118*H118</f>
        <v>455860</v>
      </c>
      <c r="J118" s="262" t="s">
        <v>493</v>
      </c>
      <c r="K118" s="262" t="s">
        <v>1167</v>
      </c>
      <c r="L118" s="262"/>
    </row>
    <row r="119" spans="1:12" s="267" customFormat="1" ht="27" customHeight="1" x14ac:dyDescent="0.35">
      <c r="A119" s="262"/>
      <c r="B119" s="262"/>
      <c r="C119" s="263"/>
      <c r="D119" s="263"/>
      <c r="E119" s="263"/>
      <c r="F119" s="278" t="s">
        <v>652</v>
      </c>
      <c r="G119" s="279">
        <v>6</v>
      </c>
      <c r="H119" s="284">
        <v>11445</v>
      </c>
      <c r="I119" s="265">
        <f t="shared" si="4"/>
        <v>68670</v>
      </c>
      <c r="J119" s="262" t="s">
        <v>493</v>
      </c>
      <c r="K119" s="262" t="s">
        <v>1167</v>
      </c>
      <c r="L119" s="262"/>
    </row>
    <row r="120" spans="1:12" s="267" customFormat="1" ht="27" customHeight="1" x14ac:dyDescent="0.35">
      <c r="A120" s="262"/>
      <c r="B120" s="262"/>
      <c r="C120" s="263"/>
      <c r="D120" s="263"/>
      <c r="E120" s="263"/>
      <c r="F120" s="278" t="s">
        <v>651</v>
      </c>
      <c r="G120" s="279">
        <v>2</v>
      </c>
      <c r="H120" s="284">
        <v>400333</v>
      </c>
      <c r="I120" s="265">
        <f t="shared" si="4"/>
        <v>800666</v>
      </c>
      <c r="J120" s="262" t="s">
        <v>493</v>
      </c>
      <c r="K120" s="262" t="s">
        <v>1167</v>
      </c>
      <c r="L120" s="262"/>
    </row>
    <row r="121" spans="1:12" s="267" customFormat="1" ht="27" customHeight="1" x14ac:dyDescent="0.35">
      <c r="A121" s="262"/>
      <c r="B121" s="262"/>
      <c r="C121" s="263"/>
      <c r="D121" s="263"/>
      <c r="E121" s="263"/>
      <c r="F121" s="278" t="s">
        <v>650</v>
      </c>
      <c r="G121" s="279">
        <v>8</v>
      </c>
      <c r="H121" s="284">
        <v>23990</v>
      </c>
      <c r="I121" s="265">
        <f t="shared" si="4"/>
        <v>191920</v>
      </c>
      <c r="J121" s="262" t="s">
        <v>493</v>
      </c>
      <c r="K121" s="262" t="s">
        <v>1167</v>
      </c>
      <c r="L121" s="262"/>
    </row>
    <row r="122" spans="1:12" s="267" customFormat="1" ht="27" customHeight="1" x14ac:dyDescent="0.35">
      <c r="A122" s="262">
        <v>47</v>
      </c>
      <c r="B122" s="262" t="s">
        <v>656</v>
      </c>
      <c r="C122" s="263">
        <v>0.71002314814814815</v>
      </c>
      <c r="D122" s="263">
        <v>0.75446759259259266</v>
      </c>
      <c r="E122" s="263"/>
      <c r="F122" s="278" t="s">
        <v>657</v>
      </c>
      <c r="G122" s="279">
        <v>4</v>
      </c>
      <c r="H122" s="284">
        <v>46996</v>
      </c>
      <c r="I122" s="265">
        <f t="shared" si="4"/>
        <v>187984</v>
      </c>
      <c r="J122" s="262" t="s">
        <v>65</v>
      </c>
      <c r="K122" s="262" t="s">
        <v>1167</v>
      </c>
      <c r="L122" s="262"/>
    </row>
    <row r="123" spans="1:12" s="267" customFormat="1" ht="27" customHeight="1" x14ac:dyDescent="0.35">
      <c r="A123" s="262">
        <v>48</v>
      </c>
      <c r="B123" s="262" t="s">
        <v>666</v>
      </c>
      <c r="C123" s="263">
        <v>0.75168981481481489</v>
      </c>
      <c r="D123" s="263" t="s">
        <v>667</v>
      </c>
      <c r="E123" s="263"/>
      <c r="F123" s="278" t="s">
        <v>668</v>
      </c>
      <c r="G123" s="279">
        <v>2</v>
      </c>
      <c r="H123" s="284">
        <v>28600</v>
      </c>
      <c r="I123" s="265">
        <f t="shared" si="4"/>
        <v>57200</v>
      </c>
      <c r="J123" s="262" t="s">
        <v>54</v>
      </c>
      <c r="K123" s="262" t="s">
        <v>1167</v>
      </c>
      <c r="L123" s="262"/>
    </row>
    <row r="124" spans="1:12" s="267" customFormat="1" ht="27" customHeight="1" x14ac:dyDescent="0.35">
      <c r="A124" s="262">
        <v>49</v>
      </c>
      <c r="B124" s="262" t="s">
        <v>669</v>
      </c>
      <c r="C124" s="263">
        <v>0.71002314814814815</v>
      </c>
      <c r="D124" s="263">
        <v>0.33849537037037036</v>
      </c>
      <c r="E124" s="263"/>
      <c r="F124" s="278" t="s">
        <v>670</v>
      </c>
      <c r="G124" s="279">
        <v>2</v>
      </c>
      <c r="H124" s="284">
        <v>12323.5</v>
      </c>
      <c r="I124" s="265">
        <f t="shared" si="4"/>
        <v>24647</v>
      </c>
      <c r="J124" s="262" t="s">
        <v>81</v>
      </c>
      <c r="K124" s="262" t="s">
        <v>1167</v>
      </c>
      <c r="L124" s="262"/>
    </row>
    <row r="125" spans="1:12" s="267" customFormat="1" ht="27" customHeight="1" x14ac:dyDescent="0.35">
      <c r="A125" s="262"/>
      <c r="B125" s="262"/>
      <c r="C125" s="263"/>
      <c r="D125" s="263"/>
      <c r="E125" s="263"/>
      <c r="F125" s="278" t="s">
        <v>671</v>
      </c>
      <c r="G125" s="279">
        <v>5</v>
      </c>
      <c r="H125" s="284">
        <v>34395.5</v>
      </c>
      <c r="I125" s="265">
        <f t="shared" si="4"/>
        <v>171977.5</v>
      </c>
      <c r="J125" s="262" t="s">
        <v>81</v>
      </c>
      <c r="K125" s="262" t="s">
        <v>1167</v>
      </c>
      <c r="L125" s="262"/>
    </row>
    <row r="126" spans="1:12" s="267" customFormat="1" ht="27" customHeight="1" x14ac:dyDescent="0.35">
      <c r="A126" s="262"/>
      <c r="B126" s="262"/>
      <c r="C126" s="263"/>
      <c r="D126" s="263"/>
      <c r="E126" s="263"/>
      <c r="F126" s="278" t="s">
        <v>672</v>
      </c>
      <c r="G126" s="279">
        <v>6</v>
      </c>
      <c r="H126" s="284">
        <v>12947.5</v>
      </c>
      <c r="I126" s="265">
        <f t="shared" si="4"/>
        <v>77685</v>
      </c>
      <c r="J126" s="262" t="s">
        <v>81</v>
      </c>
      <c r="K126" s="262" t="s">
        <v>1167</v>
      </c>
      <c r="L126" s="262"/>
    </row>
    <row r="127" spans="1:12" s="267" customFormat="1" ht="27" customHeight="1" x14ac:dyDescent="0.35">
      <c r="A127" s="262"/>
      <c r="B127" s="262"/>
      <c r="C127" s="263"/>
      <c r="D127" s="263"/>
      <c r="E127" s="263"/>
      <c r="F127" s="278" t="s">
        <v>673</v>
      </c>
      <c r="G127" s="279">
        <v>3</v>
      </c>
      <c r="H127" s="284">
        <v>18720.5</v>
      </c>
      <c r="I127" s="265">
        <f t="shared" si="4"/>
        <v>56161.5</v>
      </c>
      <c r="J127" s="262" t="s">
        <v>81</v>
      </c>
      <c r="K127" s="262" t="s">
        <v>1167</v>
      </c>
      <c r="L127" s="262"/>
    </row>
    <row r="128" spans="1:12" s="267" customFormat="1" ht="27" customHeight="1" x14ac:dyDescent="0.35">
      <c r="A128" s="262"/>
      <c r="B128" s="262"/>
      <c r="C128" s="263"/>
      <c r="D128" s="263"/>
      <c r="E128" s="263"/>
      <c r="F128" s="278" t="s">
        <v>674</v>
      </c>
      <c r="G128" s="279">
        <v>4</v>
      </c>
      <c r="H128" s="284">
        <v>11319.5</v>
      </c>
      <c r="I128" s="265">
        <f t="shared" si="4"/>
        <v>45278</v>
      </c>
      <c r="J128" s="262" t="s">
        <v>81</v>
      </c>
      <c r="K128" s="262" t="s">
        <v>1167</v>
      </c>
      <c r="L128" s="262"/>
    </row>
    <row r="129" spans="1:12" s="267" customFormat="1" ht="27" customHeight="1" x14ac:dyDescent="0.35">
      <c r="A129" s="262">
        <v>50</v>
      </c>
      <c r="B129" s="262" t="s">
        <v>690</v>
      </c>
      <c r="C129" s="263">
        <v>0.37668981481481478</v>
      </c>
      <c r="D129" s="263">
        <v>0.42182870370370368</v>
      </c>
      <c r="E129" s="263"/>
      <c r="F129" s="278" t="s">
        <v>691</v>
      </c>
      <c r="G129" s="279">
        <v>3</v>
      </c>
      <c r="H129" s="284">
        <v>41862</v>
      </c>
      <c r="I129" s="265">
        <f t="shared" si="4"/>
        <v>125586</v>
      </c>
      <c r="J129" s="262" t="s">
        <v>65</v>
      </c>
      <c r="K129" s="262" t="s">
        <v>1167</v>
      </c>
      <c r="L129" s="262"/>
    </row>
    <row r="130" spans="1:12" s="267" customFormat="1" ht="27" customHeight="1" x14ac:dyDescent="0.35">
      <c r="A130" s="262"/>
      <c r="B130" s="262"/>
      <c r="C130" s="263"/>
      <c r="D130" s="263"/>
      <c r="E130" s="263"/>
      <c r="F130" s="278" t="s">
        <v>692</v>
      </c>
      <c r="G130" s="279">
        <v>3</v>
      </c>
      <c r="H130" s="284">
        <v>101389</v>
      </c>
      <c r="I130" s="265">
        <f t="shared" si="4"/>
        <v>304167</v>
      </c>
      <c r="J130" s="262" t="s">
        <v>65</v>
      </c>
      <c r="K130" s="262" t="s">
        <v>1167</v>
      </c>
      <c r="L130" s="262"/>
    </row>
    <row r="131" spans="1:12" s="369" customFormat="1" ht="27" customHeight="1" x14ac:dyDescent="0.35">
      <c r="A131" s="365">
        <v>51</v>
      </c>
      <c r="B131" s="365" t="s">
        <v>689</v>
      </c>
      <c r="C131" s="366">
        <v>0.83502314814814815</v>
      </c>
      <c r="D131" s="366">
        <v>4.6828703703703706E-2</v>
      </c>
      <c r="E131" s="366"/>
      <c r="F131" s="367" t="s">
        <v>688</v>
      </c>
      <c r="G131" s="368">
        <v>1</v>
      </c>
      <c r="H131" s="285">
        <v>346512</v>
      </c>
      <c r="I131" s="274">
        <f t="shared" si="4"/>
        <v>346512</v>
      </c>
      <c r="J131" s="365" t="s">
        <v>493</v>
      </c>
      <c r="K131" s="262" t="s">
        <v>1167</v>
      </c>
      <c r="L131" s="365"/>
    </row>
    <row r="132" spans="1:12" s="267" customFormat="1" ht="27" customHeight="1" x14ac:dyDescent="0.35">
      <c r="A132" s="401">
        <v>52</v>
      </c>
      <c r="B132" s="401" t="s">
        <v>738</v>
      </c>
      <c r="C132" s="468" t="s">
        <v>711</v>
      </c>
      <c r="D132" s="468">
        <v>0.42182870370370368</v>
      </c>
      <c r="E132" s="468"/>
      <c r="F132" s="407" t="s">
        <v>739</v>
      </c>
      <c r="G132" s="408">
        <v>1</v>
      </c>
      <c r="H132" s="409">
        <v>1025556</v>
      </c>
      <c r="I132" s="402">
        <f t="shared" si="4"/>
        <v>1025556</v>
      </c>
      <c r="J132" s="401" t="s">
        <v>35</v>
      </c>
      <c r="K132" s="262" t="s">
        <v>1171</v>
      </c>
      <c r="L132" s="262"/>
    </row>
    <row r="133" spans="1:12" s="267" customFormat="1" ht="27" customHeight="1" x14ac:dyDescent="0.35">
      <c r="A133" s="262">
        <v>53</v>
      </c>
      <c r="B133" s="262" t="s">
        <v>740</v>
      </c>
      <c r="C133" s="263" t="s">
        <v>726</v>
      </c>
      <c r="D133" s="263">
        <v>0.71002314814814815</v>
      </c>
      <c r="E133" s="263"/>
      <c r="F133" s="278" t="s">
        <v>741</v>
      </c>
      <c r="G133" s="279">
        <v>1</v>
      </c>
      <c r="H133" s="284">
        <v>139049</v>
      </c>
      <c r="I133" s="265">
        <f t="shared" si="4"/>
        <v>139049</v>
      </c>
      <c r="J133" s="262" t="s">
        <v>54</v>
      </c>
      <c r="K133" s="262" t="s">
        <v>1167</v>
      </c>
      <c r="L133" s="262"/>
    </row>
    <row r="134" spans="1:12" s="267" customFormat="1" ht="27" customHeight="1" x14ac:dyDescent="0.35">
      <c r="A134" s="262">
        <v>54</v>
      </c>
      <c r="B134" s="262" t="s">
        <v>747</v>
      </c>
      <c r="C134" s="263" t="s">
        <v>711</v>
      </c>
      <c r="D134" s="263" t="s">
        <v>748</v>
      </c>
      <c r="E134" s="263"/>
      <c r="F134" s="278" t="s">
        <v>750</v>
      </c>
      <c r="G134" s="279">
        <v>1</v>
      </c>
      <c r="H134" s="284">
        <v>393734</v>
      </c>
      <c r="I134" s="265">
        <f t="shared" si="4"/>
        <v>393734</v>
      </c>
      <c r="J134" s="262" t="s">
        <v>65</v>
      </c>
      <c r="K134" s="262" t="s">
        <v>1167</v>
      </c>
      <c r="L134" s="262"/>
    </row>
    <row r="135" spans="1:12" s="267" customFormat="1" ht="27" customHeight="1" x14ac:dyDescent="0.35">
      <c r="A135" s="262">
        <v>55</v>
      </c>
      <c r="B135" s="262" t="s">
        <v>758</v>
      </c>
      <c r="C135" s="263" t="s">
        <v>737</v>
      </c>
      <c r="D135" s="263">
        <v>0.75446759259259266</v>
      </c>
      <c r="E135" s="263"/>
      <c r="F135" s="278" t="s">
        <v>757</v>
      </c>
      <c r="G135" s="279">
        <v>2</v>
      </c>
      <c r="H135" s="284">
        <v>22524</v>
      </c>
      <c r="I135" s="265">
        <f t="shared" si="4"/>
        <v>45048</v>
      </c>
      <c r="J135" s="262" t="s">
        <v>54</v>
      </c>
      <c r="K135" s="262" t="s">
        <v>1167</v>
      </c>
      <c r="L135" s="262"/>
    </row>
    <row r="136" spans="1:12" s="267" customFormat="1" ht="27" customHeight="1" x14ac:dyDescent="0.35">
      <c r="A136" s="262"/>
      <c r="B136" s="262"/>
      <c r="C136" s="263"/>
      <c r="D136" s="263"/>
      <c r="E136" s="263"/>
      <c r="F136" s="278" t="s">
        <v>756</v>
      </c>
      <c r="G136" s="279">
        <v>2</v>
      </c>
      <c r="H136" s="284">
        <v>20242</v>
      </c>
      <c r="I136" s="265">
        <f t="shared" si="4"/>
        <v>40484</v>
      </c>
      <c r="J136" s="262" t="s">
        <v>54</v>
      </c>
      <c r="K136" s="262" t="s">
        <v>1167</v>
      </c>
      <c r="L136" s="262"/>
    </row>
    <row r="137" spans="1:12" s="267" customFormat="1" ht="27" customHeight="1" x14ac:dyDescent="0.35">
      <c r="A137" s="262"/>
      <c r="B137" s="262"/>
      <c r="C137" s="263"/>
      <c r="D137" s="263"/>
      <c r="E137" s="263"/>
      <c r="F137" s="278" t="s">
        <v>755</v>
      </c>
      <c r="G137" s="279">
        <v>2</v>
      </c>
      <c r="H137" s="284">
        <v>27615</v>
      </c>
      <c r="I137" s="265">
        <f t="shared" si="4"/>
        <v>55230</v>
      </c>
      <c r="J137" s="262" t="s">
        <v>54</v>
      </c>
      <c r="K137" s="262" t="s">
        <v>1167</v>
      </c>
      <c r="L137" s="262"/>
    </row>
    <row r="138" spans="1:12" s="267" customFormat="1" ht="27" customHeight="1" x14ac:dyDescent="0.35">
      <c r="A138" s="262">
        <v>56</v>
      </c>
      <c r="B138" s="262" t="s">
        <v>784</v>
      </c>
      <c r="C138" s="263" t="s">
        <v>699</v>
      </c>
      <c r="D138" s="263">
        <v>0.58780092592592592</v>
      </c>
      <c r="E138" s="263" t="s">
        <v>786</v>
      </c>
      <c r="F138" s="278" t="s">
        <v>785</v>
      </c>
      <c r="G138" s="279">
        <v>1</v>
      </c>
      <c r="H138" s="284">
        <v>990860</v>
      </c>
      <c r="I138" s="265">
        <f t="shared" si="4"/>
        <v>990860</v>
      </c>
      <c r="J138" s="262" t="s">
        <v>788</v>
      </c>
      <c r="K138" s="262" t="s">
        <v>1167</v>
      </c>
      <c r="L138" s="262"/>
    </row>
    <row r="139" spans="1:12" s="267" customFormat="1" ht="27" customHeight="1" x14ac:dyDescent="0.35">
      <c r="A139" s="262">
        <v>57</v>
      </c>
      <c r="B139" s="262" t="s">
        <v>798</v>
      </c>
      <c r="C139" s="263">
        <v>0.4607175925925926</v>
      </c>
      <c r="D139" s="263">
        <v>0.38085648148148149</v>
      </c>
      <c r="E139" s="263" t="s">
        <v>799</v>
      </c>
      <c r="F139" s="278" t="s">
        <v>800</v>
      </c>
      <c r="G139" s="279">
        <v>8</v>
      </c>
      <c r="H139" s="284">
        <v>25030</v>
      </c>
      <c r="I139" s="265">
        <f t="shared" si="4"/>
        <v>200240</v>
      </c>
      <c r="J139" s="262" t="s">
        <v>65</v>
      </c>
      <c r="K139" s="262" t="s">
        <v>1167</v>
      </c>
      <c r="L139" s="262"/>
    </row>
    <row r="140" spans="1:12" s="267" customFormat="1" ht="27" customHeight="1" x14ac:dyDescent="0.35">
      <c r="A140" s="262">
        <v>58</v>
      </c>
      <c r="B140" s="262" t="s">
        <v>836</v>
      </c>
      <c r="C140" s="263">
        <v>0.50238425925925922</v>
      </c>
      <c r="D140" s="263"/>
      <c r="E140" s="263" t="s">
        <v>805</v>
      </c>
      <c r="F140" s="278" t="s">
        <v>806</v>
      </c>
      <c r="G140" s="279">
        <v>4</v>
      </c>
      <c r="H140" s="284">
        <v>16210.26</v>
      </c>
      <c r="I140" s="265">
        <f t="shared" si="4"/>
        <v>64841.04</v>
      </c>
      <c r="J140" s="262" t="s">
        <v>591</v>
      </c>
      <c r="K140" s="262" t="s">
        <v>1167</v>
      </c>
      <c r="L140" s="262"/>
    </row>
    <row r="141" spans="1:12" s="267" customFormat="1" ht="27" customHeight="1" x14ac:dyDescent="0.35">
      <c r="A141" s="262"/>
      <c r="B141" s="262"/>
      <c r="C141" s="263"/>
      <c r="D141" s="263"/>
      <c r="E141" s="263" t="s">
        <v>807</v>
      </c>
      <c r="F141" s="278" t="s">
        <v>808</v>
      </c>
      <c r="G141" s="279">
        <v>1</v>
      </c>
      <c r="H141" s="284">
        <v>6370.65</v>
      </c>
      <c r="I141" s="265">
        <f t="shared" ref="I141:I156" si="5">G141*H141</f>
        <v>6370.65</v>
      </c>
      <c r="J141" s="262" t="s">
        <v>834</v>
      </c>
      <c r="K141" s="262" t="s">
        <v>1167</v>
      </c>
      <c r="L141" s="262"/>
    </row>
    <row r="142" spans="1:12" s="267" customFormat="1" ht="27" customHeight="1" x14ac:dyDescent="0.35">
      <c r="A142" s="262"/>
      <c r="B142" s="262"/>
      <c r="C142" s="263"/>
      <c r="D142" s="263"/>
      <c r="E142" s="263" t="s">
        <v>809</v>
      </c>
      <c r="F142" s="278" t="s">
        <v>810</v>
      </c>
      <c r="G142" s="279">
        <v>4</v>
      </c>
      <c r="H142" s="284">
        <v>9651.51</v>
      </c>
      <c r="I142" s="265">
        <f t="shared" si="5"/>
        <v>38606.04</v>
      </c>
      <c r="J142" s="262" t="s">
        <v>591</v>
      </c>
      <c r="K142" s="262" t="s">
        <v>1167</v>
      </c>
      <c r="L142" s="262"/>
    </row>
    <row r="143" spans="1:12" s="267" customFormat="1" ht="27" customHeight="1" x14ac:dyDescent="0.35">
      <c r="A143" s="262"/>
      <c r="B143" s="262"/>
      <c r="C143" s="263"/>
      <c r="D143" s="263"/>
      <c r="E143" s="263" t="s">
        <v>811</v>
      </c>
      <c r="F143" s="278" t="s">
        <v>812</v>
      </c>
      <c r="G143" s="279">
        <v>1</v>
      </c>
      <c r="H143" s="284">
        <v>5512.32</v>
      </c>
      <c r="I143" s="265">
        <f t="shared" si="5"/>
        <v>5512.32</v>
      </c>
      <c r="J143" s="262" t="s">
        <v>834</v>
      </c>
      <c r="K143" s="262" t="s">
        <v>1167</v>
      </c>
      <c r="L143" s="262"/>
    </row>
    <row r="144" spans="1:12" s="267" customFormat="1" ht="27" customHeight="1" x14ac:dyDescent="0.35">
      <c r="A144" s="262"/>
      <c r="B144" s="262"/>
      <c r="C144" s="263"/>
      <c r="D144" s="263"/>
      <c r="E144" s="263" t="s">
        <v>813</v>
      </c>
      <c r="F144" s="278" t="s">
        <v>814</v>
      </c>
      <c r="G144" s="279">
        <v>6</v>
      </c>
      <c r="H144" s="284">
        <v>10928.61</v>
      </c>
      <c r="I144" s="265">
        <f t="shared" si="5"/>
        <v>65571.66</v>
      </c>
      <c r="J144" s="262" t="s">
        <v>835</v>
      </c>
      <c r="K144" s="262" t="s">
        <v>1167</v>
      </c>
      <c r="L144" s="262"/>
    </row>
    <row r="145" spans="1:12" s="267" customFormat="1" ht="27" customHeight="1" x14ac:dyDescent="0.35">
      <c r="A145" s="262"/>
      <c r="B145" s="262"/>
      <c r="C145" s="263"/>
      <c r="D145" s="263"/>
      <c r="E145" s="263" t="s">
        <v>815</v>
      </c>
      <c r="F145" s="278" t="s">
        <v>816</v>
      </c>
      <c r="G145" s="279">
        <v>1</v>
      </c>
      <c r="H145" s="284">
        <v>213271.74</v>
      </c>
      <c r="I145" s="265">
        <f t="shared" si="5"/>
        <v>213271.74</v>
      </c>
      <c r="J145" s="262" t="s">
        <v>834</v>
      </c>
      <c r="K145" s="262" t="s">
        <v>1167</v>
      </c>
      <c r="L145" s="262"/>
    </row>
    <row r="146" spans="1:12" s="267" customFormat="1" ht="27" customHeight="1" x14ac:dyDescent="0.35">
      <c r="A146" s="262"/>
      <c r="B146" s="262"/>
      <c r="C146" s="263"/>
      <c r="D146" s="263"/>
      <c r="E146" s="263" t="s">
        <v>817</v>
      </c>
      <c r="F146" s="278" t="s">
        <v>818</v>
      </c>
      <c r="G146" s="279">
        <v>1</v>
      </c>
      <c r="H146" s="284">
        <v>1373.13</v>
      </c>
      <c r="I146" s="265">
        <f t="shared" si="5"/>
        <v>1373.13</v>
      </c>
      <c r="J146" s="262" t="s">
        <v>834</v>
      </c>
      <c r="K146" s="262" t="s">
        <v>1167</v>
      </c>
      <c r="L146" s="262"/>
    </row>
    <row r="147" spans="1:12" s="267" customFormat="1" ht="27" customHeight="1" x14ac:dyDescent="0.35">
      <c r="A147" s="262"/>
      <c r="B147" s="262"/>
      <c r="C147" s="263"/>
      <c r="D147" s="263"/>
      <c r="E147" s="263" t="s">
        <v>819</v>
      </c>
      <c r="F147" s="278" t="s">
        <v>820</v>
      </c>
      <c r="G147" s="279">
        <v>1</v>
      </c>
      <c r="H147" s="284">
        <v>6370.65</v>
      </c>
      <c r="I147" s="265">
        <f t="shared" si="5"/>
        <v>6370.65</v>
      </c>
      <c r="J147" s="262" t="s">
        <v>834</v>
      </c>
      <c r="K147" s="262" t="s">
        <v>1167</v>
      </c>
      <c r="L147" s="262"/>
    </row>
    <row r="148" spans="1:12" s="267" customFormat="1" ht="27" customHeight="1" x14ac:dyDescent="0.35">
      <c r="A148" s="262"/>
      <c r="B148" s="262"/>
      <c r="C148" s="263"/>
      <c r="D148" s="263"/>
      <c r="E148" s="263" t="s">
        <v>821</v>
      </c>
      <c r="F148" s="278" t="s">
        <v>822</v>
      </c>
      <c r="G148" s="279">
        <v>1</v>
      </c>
      <c r="H148" s="284">
        <v>244770.57</v>
      </c>
      <c r="I148" s="265">
        <f t="shared" si="5"/>
        <v>244770.57</v>
      </c>
      <c r="J148" s="262" t="s">
        <v>834</v>
      </c>
      <c r="K148" s="262" t="s">
        <v>1167</v>
      </c>
      <c r="L148" s="262"/>
    </row>
    <row r="149" spans="1:12" s="267" customFormat="1" ht="27" customHeight="1" x14ac:dyDescent="0.35">
      <c r="A149" s="262"/>
      <c r="B149" s="262"/>
      <c r="C149" s="263"/>
      <c r="D149" s="263"/>
      <c r="E149" s="263" t="s">
        <v>823</v>
      </c>
      <c r="F149" s="278" t="s">
        <v>824</v>
      </c>
      <c r="G149" s="279">
        <v>1</v>
      </c>
      <c r="H149" s="284">
        <v>501.93</v>
      </c>
      <c r="I149" s="265">
        <f t="shared" si="5"/>
        <v>501.93</v>
      </c>
      <c r="J149" s="262" t="s">
        <v>834</v>
      </c>
      <c r="K149" s="262" t="s">
        <v>1167</v>
      </c>
      <c r="L149" s="262"/>
    </row>
    <row r="150" spans="1:12" s="267" customFormat="1" ht="27" customHeight="1" x14ac:dyDescent="0.35">
      <c r="A150" s="262"/>
      <c r="B150" s="262"/>
      <c r="C150" s="263"/>
      <c r="D150" s="263"/>
      <c r="E150" s="263" t="s">
        <v>825</v>
      </c>
      <c r="F150" s="278" t="s">
        <v>826</v>
      </c>
      <c r="G150" s="279">
        <v>1</v>
      </c>
      <c r="H150" s="284">
        <v>47208.15</v>
      </c>
      <c r="I150" s="265">
        <f t="shared" si="5"/>
        <v>47208.15</v>
      </c>
      <c r="J150" s="262" t="s">
        <v>834</v>
      </c>
      <c r="K150" s="262" t="s">
        <v>1167</v>
      </c>
      <c r="L150" s="262"/>
    </row>
    <row r="151" spans="1:12" s="267" customFormat="1" ht="36" x14ac:dyDescent="0.35">
      <c r="A151" s="262"/>
      <c r="B151" s="262"/>
      <c r="C151" s="263"/>
      <c r="D151" s="263"/>
      <c r="E151" s="263" t="s">
        <v>827</v>
      </c>
      <c r="F151" s="278" t="s">
        <v>828</v>
      </c>
      <c r="G151" s="279">
        <v>2</v>
      </c>
      <c r="H151" s="284">
        <v>9247.59</v>
      </c>
      <c r="I151" s="265">
        <f t="shared" si="5"/>
        <v>18495.18</v>
      </c>
      <c r="J151" s="262" t="s">
        <v>834</v>
      </c>
      <c r="K151" s="262" t="s">
        <v>1167</v>
      </c>
      <c r="L151" s="262"/>
    </row>
    <row r="152" spans="1:12" s="267" customFormat="1" ht="48" x14ac:dyDescent="0.35">
      <c r="A152" s="262"/>
      <c r="B152" s="262"/>
      <c r="C152" s="263"/>
      <c r="D152" s="263"/>
      <c r="E152" s="263" t="s">
        <v>829</v>
      </c>
      <c r="F152" s="278" t="s">
        <v>830</v>
      </c>
      <c r="G152" s="279">
        <v>2</v>
      </c>
      <c r="H152" s="284">
        <v>4159.9799999999996</v>
      </c>
      <c r="I152" s="265">
        <f t="shared" si="5"/>
        <v>8319.9599999999991</v>
      </c>
      <c r="J152" s="262" t="s">
        <v>834</v>
      </c>
      <c r="K152" s="262" t="s">
        <v>1167</v>
      </c>
      <c r="L152" s="262"/>
    </row>
    <row r="153" spans="1:12" s="267" customFormat="1" ht="48" x14ac:dyDescent="0.35">
      <c r="A153" s="262"/>
      <c r="B153" s="262"/>
      <c r="C153" s="263"/>
      <c r="D153" s="263"/>
      <c r="E153" s="263" t="s">
        <v>831</v>
      </c>
      <c r="F153" s="278" t="s">
        <v>832</v>
      </c>
      <c r="G153" s="279">
        <v>1</v>
      </c>
      <c r="H153" s="284">
        <v>120239.45</v>
      </c>
      <c r="I153" s="265">
        <f t="shared" si="5"/>
        <v>120239.45</v>
      </c>
      <c r="J153" s="262" t="s">
        <v>834</v>
      </c>
      <c r="K153" s="262" t="s">
        <v>1167</v>
      </c>
      <c r="L153" s="262"/>
    </row>
    <row r="154" spans="1:12" s="267" customFormat="1" ht="27" customHeight="1" x14ac:dyDescent="0.35">
      <c r="A154" s="262"/>
      <c r="B154" s="262"/>
      <c r="C154" s="263"/>
      <c r="D154" s="263"/>
      <c r="E154" s="263" t="s">
        <v>833</v>
      </c>
      <c r="F154" s="278" t="s">
        <v>894</v>
      </c>
      <c r="G154" s="279">
        <v>6</v>
      </c>
      <c r="H154" s="284">
        <v>9440.64</v>
      </c>
      <c r="I154" s="265">
        <f t="shared" si="5"/>
        <v>56643.839999999997</v>
      </c>
      <c r="J154" s="262" t="s">
        <v>591</v>
      </c>
      <c r="K154" s="262" t="s">
        <v>1167</v>
      </c>
      <c r="L154" s="262"/>
    </row>
    <row r="155" spans="1:12" s="267" customFormat="1" ht="21" customHeight="1" x14ac:dyDescent="0.35">
      <c r="A155" s="262">
        <v>59</v>
      </c>
      <c r="B155" s="262" t="s">
        <v>887</v>
      </c>
      <c r="C155" s="263">
        <v>0.41905092592592591</v>
      </c>
      <c r="D155" s="263" t="s">
        <v>888</v>
      </c>
      <c r="E155" s="262">
        <v>545510504</v>
      </c>
      <c r="F155" s="278" t="s">
        <v>889</v>
      </c>
      <c r="G155" s="279">
        <v>1</v>
      </c>
      <c r="H155" s="284">
        <v>1210395</v>
      </c>
      <c r="I155" s="265">
        <f>G155*H155</f>
        <v>1210395</v>
      </c>
      <c r="J155" s="262" t="s">
        <v>65</v>
      </c>
      <c r="K155" s="262" t="s">
        <v>1167</v>
      </c>
      <c r="L155" s="262"/>
    </row>
    <row r="156" spans="1:12" s="292" customFormat="1" ht="21" customHeight="1" x14ac:dyDescent="0.35">
      <c r="A156" s="286">
        <v>60</v>
      </c>
      <c r="B156" s="286" t="s">
        <v>861</v>
      </c>
      <c r="C156" s="287">
        <v>0.54405092592592597</v>
      </c>
      <c r="D156" s="287" t="s">
        <v>862</v>
      </c>
      <c r="E156" s="287" t="s">
        <v>863</v>
      </c>
      <c r="F156" s="288" t="s">
        <v>864</v>
      </c>
      <c r="G156" s="289">
        <v>2</v>
      </c>
      <c r="H156" s="290">
        <v>142500</v>
      </c>
      <c r="I156" s="291">
        <f t="shared" si="5"/>
        <v>285000</v>
      </c>
      <c r="J156" s="286" t="s">
        <v>869</v>
      </c>
      <c r="K156" s="262" t="s">
        <v>1167</v>
      </c>
      <c r="L156" s="286"/>
    </row>
    <row r="157" spans="1:12" s="267" customFormat="1" ht="21" customHeight="1" x14ac:dyDescent="0.35">
      <c r="A157" s="262">
        <v>61</v>
      </c>
      <c r="B157" s="262" t="s">
        <v>872</v>
      </c>
      <c r="C157" s="263">
        <v>0.66905092592592597</v>
      </c>
      <c r="D157" s="263">
        <v>0.58849537037037036</v>
      </c>
      <c r="E157" s="263" t="s">
        <v>873</v>
      </c>
      <c r="F157" s="278" t="s">
        <v>876</v>
      </c>
      <c r="G157" s="279">
        <v>130</v>
      </c>
      <c r="H157" s="284">
        <v>1292</v>
      </c>
      <c r="I157" s="265">
        <f>G157*H157</f>
        <v>167960</v>
      </c>
      <c r="J157" s="262" t="s">
        <v>35</v>
      </c>
      <c r="K157" s="262" t="s">
        <v>1167</v>
      </c>
      <c r="L157" s="262"/>
    </row>
    <row r="158" spans="1:12" s="267" customFormat="1" ht="21" customHeight="1" x14ac:dyDescent="0.35">
      <c r="A158" s="262"/>
      <c r="B158" s="262"/>
      <c r="C158" s="263"/>
      <c r="D158" s="263"/>
      <c r="E158" s="263" t="s">
        <v>874</v>
      </c>
      <c r="F158" s="278" t="s">
        <v>877</v>
      </c>
      <c r="G158" s="279">
        <v>214</v>
      </c>
      <c r="H158" s="284">
        <v>750</v>
      </c>
      <c r="I158" s="265">
        <f t="shared" ref="I158:I166" si="6">G158*H158</f>
        <v>160500</v>
      </c>
      <c r="J158" s="262" t="s">
        <v>35</v>
      </c>
      <c r="K158" s="262" t="s">
        <v>1167</v>
      </c>
      <c r="L158" s="262"/>
    </row>
    <row r="159" spans="1:12" s="267" customFormat="1" ht="21" customHeight="1" x14ac:dyDescent="0.35">
      <c r="A159" s="262"/>
      <c r="B159" s="262"/>
      <c r="C159" s="263"/>
      <c r="D159" s="263"/>
      <c r="E159" s="263" t="s">
        <v>875</v>
      </c>
      <c r="F159" s="278" t="s">
        <v>878</v>
      </c>
      <c r="G159" s="279">
        <v>273</v>
      </c>
      <c r="H159" s="284">
        <v>1354</v>
      </c>
      <c r="I159" s="265">
        <f t="shared" si="6"/>
        <v>369642</v>
      </c>
      <c r="J159" s="262" t="s">
        <v>35</v>
      </c>
      <c r="K159" s="262" t="s">
        <v>1167</v>
      </c>
      <c r="L159" s="262"/>
    </row>
    <row r="160" spans="1:12" s="267" customFormat="1" ht="21" customHeight="1" x14ac:dyDescent="0.35">
      <c r="A160" s="262">
        <v>62</v>
      </c>
      <c r="B160" s="262" t="s">
        <v>891</v>
      </c>
      <c r="C160" s="263">
        <v>0.62738425925925922</v>
      </c>
      <c r="D160" s="263">
        <v>0.92252314814814806</v>
      </c>
      <c r="E160" s="263" t="s">
        <v>892</v>
      </c>
      <c r="F160" s="278" t="s">
        <v>893</v>
      </c>
      <c r="G160" s="279">
        <v>40</v>
      </c>
      <c r="H160" s="284">
        <v>8319</v>
      </c>
      <c r="I160" s="265">
        <f t="shared" si="6"/>
        <v>332760</v>
      </c>
      <c r="J160" s="262" t="s">
        <v>65</v>
      </c>
      <c r="K160" s="262" t="s">
        <v>1167</v>
      </c>
      <c r="L160" s="262"/>
    </row>
    <row r="161" spans="1:12" s="267" customFormat="1" ht="21" customHeight="1" x14ac:dyDescent="0.35">
      <c r="A161" s="262"/>
      <c r="B161" s="262"/>
      <c r="C161" s="263"/>
      <c r="D161" s="263">
        <v>0.67252314814814806</v>
      </c>
      <c r="E161" s="263" t="s">
        <v>892</v>
      </c>
      <c r="F161" s="278" t="s">
        <v>893</v>
      </c>
      <c r="G161" s="279">
        <v>40</v>
      </c>
      <c r="H161" s="284">
        <v>8319</v>
      </c>
      <c r="I161" s="265">
        <f t="shared" si="6"/>
        <v>332760</v>
      </c>
      <c r="J161" s="262" t="s">
        <v>65</v>
      </c>
      <c r="K161" s="262" t="s">
        <v>1167</v>
      </c>
      <c r="L161" s="262"/>
    </row>
    <row r="162" spans="1:12" s="267" customFormat="1" ht="21" customHeight="1" x14ac:dyDescent="0.35">
      <c r="A162" s="262">
        <v>63</v>
      </c>
      <c r="B162" s="262" t="s">
        <v>913</v>
      </c>
      <c r="C162" s="263">
        <v>0.7107175925925926</v>
      </c>
      <c r="D162" s="263" t="s">
        <v>914</v>
      </c>
      <c r="E162" s="263" t="s">
        <v>915</v>
      </c>
      <c r="F162" s="278" t="s">
        <v>912</v>
      </c>
      <c r="G162" s="279">
        <v>1</v>
      </c>
      <c r="H162" s="284">
        <v>25886</v>
      </c>
      <c r="I162" s="265">
        <f t="shared" si="6"/>
        <v>25886</v>
      </c>
      <c r="J162" s="262" t="s">
        <v>65</v>
      </c>
      <c r="K162" s="262" t="s">
        <v>1167</v>
      </c>
      <c r="L162" s="262"/>
    </row>
    <row r="163" spans="1:12" s="267" customFormat="1" ht="21" customHeight="1" x14ac:dyDescent="0.35">
      <c r="A163" s="262"/>
      <c r="B163" s="262"/>
      <c r="C163" s="263"/>
      <c r="D163" s="263"/>
      <c r="E163" s="263" t="s">
        <v>916</v>
      </c>
      <c r="F163" s="278" t="s">
        <v>910</v>
      </c>
      <c r="G163" s="279">
        <v>1</v>
      </c>
      <c r="H163" s="284">
        <v>61425</v>
      </c>
      <c r="I163" s="265">
        <f t="shared" si="6"/>
        <v>61425</v>
      </c>
      <c r="J163" s="262" t="s">
        <v>65</v>
      </c>
      <c r="K163" s="262" t="s">
        <v>1167</v>
      </c>
      <c r="L163" s="262"/>
    </row>
    <row r="164" spans="1:12" s="267" customFormat="1" ht="21" customHeight="1" x14ac:dyDescent="0.35">
      <c r="A164" s="262"/>
      <c r="B164" s="262"/>
      <c r="C164" s="263"/>
      <c r="D164" s="263"/>
      <c r="E164" s="263" t="s">
        <v>917</v>
      </c>
      <c r="F164" s="278" t="s">
        <v>911</v>
      </c>
      <c r="G164" s="279">
        <v>1</v>
      </c>
      <c r="H164" s="284">
        <v>93444</v>
      </c>
      <c r="I164" s="265">
        <f t="shared" si="6"/>
        <v>93444</v>
      </c>
      <c r="J164" s="262" t="s">
        <v>65</v>
      </c>
      <c r="K164" s="262" t="s">
        <v>1167</v>
      </c>
      <c r="L164" s="262"/>
    </row>
    <row r="165" spans="1:12" s="267" customFormat="1" ht="21" customHeight="1" x14ac:dyDescent="0.35">
      <c r="A165" s="262"/>
      <c r="B165" s="262"/>
      <c r="C165" s="263"/>
      <c r="D165" s="263"/>
      <c r="E165" s="263" t="s">
        <v>918</v>
      </c>
      <c r="F165" s="278" t="s">
        <v>909</v>
      </c>
      <c r="G165" s="279">
        <v>1</v>
      </c>
      <c r="H165" s="284">
        <v>203502</v>
      </c>
      <c r="I165" s="265">
        <f t="shared" si="6"/>
        <v>203502</v>
      </c>
      <c r="J165" s="262" t="s">
        <v>65</v>
      </c>
      <c r="K165" s="262" t="s">
        <v>1167</v>
      </c>
      <c r="L165" s="262"/>
    </row>
    <row r="166" spans="1:12" s="267" customFormat="1" ht="21" customHeight="1" x14ac:dyDescent="0.35">
      <c r="A166" s="262">
        <v>64</v>
      </c>
      <c r="B166" s="262" t="s">
        <v>943</v>
      </c>
      <c r="C166" s="263">
        <v>0.79405092592592597</v>
      </c>
      <c r="D166" s="263" t="s">
        <v>944</v>
      </c>
      <c r="E166" s="263" t="s">
        <v>945</v>
      </c>
      <c r="F166" s="278" t="s">
        <v>946</v>
      </c>
      <c r="G166" s="279">
        <v>1</v>
      </c>
      <c r="H166" s="284">
        <v>1205000</v>
      </c>
      <c r="I166" s="265">
        <f t="shared" si="6"/>
        <v>1205000</v>
      </c>
      <c r="J166" s="262" t="s">
        <v>65</v>
      </c>
      <c r="K166" s="262" t="s">
        <v>1167</v>
      </c>
      <c r="L166" s="262"/>
    </row>
    <row r="167" spans="1:12" s="267" customFormat="1" ht="21" customHeight="1" x14ac:dyDescent="0.35">
      <c r="A167" s="262">
        <v>65</v>
      </c>
      <c r="B167" s="262" t="s">
        <v>949</v>
      </c>
      <c r="C167" s="263">
        <v>0.91905092592592597</v>
      </c>
      <c r="D167" s="263" t="s">
        <v>950</v>
      </c>
      <c r="E167" s="263" t="s">
        <v>951</v>
      </c>
      <c r="F167" s="278" t="s">
        <v>952</v>
      </c>
      <c r="G167" s="279">
        <v>6</v>
      </c>
      <c r="H167" s="284">
        <v>24480</v>
      </c>
      <c r="I167" s="265">
        <f>G167*H167</f>
        <v>146880</v>
      </c>
      <c r="J167" s="262" t="s">
        <v>493</v>
      </c>
      <c r="K167" s="262" t="s">
        <v>1167</v>
      </c>
      <c r="L167" s="262"/>
    </row>
    <row r="168" spans="1:12" s="267" customFormat="1" ht="21" customHeight="1" x14ac:dyDescent="0.35">
      <c r="A168" s="262"/>
      <c r="B168" s="262"/>
      <c r="C168" s="263"/>
      <c r="D168" s="263"/>
      <c r="E168" s="263" t="s">
        <v>953</v>
      </c>
      <c r="F168" s="278" t="s">
        <v>954</v>
      </c>
      <c r="G168" s="279">
        <v>6</v>
      </c>
      <c r="H168" s="284">
        <v>7521</v>
      </c>
      <c r="I168" s="265">
        <f>G168*H168</f>
        <v>45126</v>
      </c>
      <c r="J168" s="262" t="s">
        <v>493</v>
      </c>
      <c r="K168" s="262" t="s">
        <v>1167</v>
      </c>
      <c r="L168" s="262"/>
    </row>
    <row r="169" spans="1:12" s="267" customFormat="1" ht="21" customHeight="1" x14ac:dyDescent="0.35">
      <c r="A169" s="262"/>
      <c r="B169" s="262"/>
      <c r="C169" s="263"/>
      <c r="D169" s="263"/>
      <c r="E169" s="263" t="s">
        <v>956</v>
      </c>
      <c r="F169" s="278" t="s">
        <v>955</v>
      </c>
      <c r="G169" s="279">
        <v>2</v>
      </c>
      <c r="H169" s="284">
        <v>4865</v>
      </c>
      <c r="I169" s="265">
        <f>G169*H169</f>
        <v>9730</v>
      </c>
      <c r="J169" s="262" t="s">
        <v>493</v>
      </c>
      <c r="K169" s="262" t="s">
        <v>1167</v>
      </c>
      <c r="L169" s="262"/>
    </row>
    <row r="170" spans="1:12" s="267" customFormat="1" ht="21" customHeight="1" x14ac:dyDescent="0.35">
      <c r="A170" s="262">
        <v>66</v>
      </c>
      <c r="B170" s="262" t="s">
        <v>957</v>
      </c>
      <c r="C170" s="263">
        <v>0.9607175925925926</v>
      </c>
      <c r="D170" s="263">
        <v>0.25585648148148149</v>
      </c>
      <c r="E170" s="263" t="s">
        <v>958</v>
      </c>
      <c r="F170" s="278" t="s">
        <v>959</v>
      </c>
      <c r="G170" s="279">
        <v>6</v>
      </c>
      <c r="H170" s="284">
        <v>6733</v>
      </c>
      <c r="I170" s="265">
        <f t="shared" ref="I170:I195" si="7">G170*H170</f>
        <v>40398</v>
      </c>
      <c r="J170" s="262" t="s">
        <v>81</v>
      </c>
      <c r="K170" s="262" t="s">
        <v>1167</v>
      </c>
      <c r="L170" s="262"/>
    </row>
    <row r="171" spans="1:12" s="267" customFormat="1" ht="21" customHeight="1" x14ac:dyDescent="0.35">
      <c r="A171" s="262"/>
      <c r="B171" s="262"/>
      <c r="C171" s="263"/>
      <c r="D171" s="263"/>
      <c r="E171" s="263" t="s">
        <v>960</v>
      </c>
      <c r="F171" s="278" t="s">
        <v>961</v>
      </c>
      <c r="G171" s="279">
        <v>6</v>
      </c>
      <c r="H171" s="284">
        <v>9898</v>
      </c>
      <c r="I171" s="265">
        <f t="shared" si="7"/>
        <v>59388</v>
      </c>
      <c r="J171" s="262" t="s">
        <v>81</v>
      </c>
      <c r="K171" s="262" t="s">
        <v>1167</v>
      </c>
      <c r="L171" s="262"/>
    </row>
    <row r="172" spans="1:12" s="267" customFormat="1" ht="21" customHeight="1" x14ac:dyDescent="0.35">
      <c r="A172" s="262"/>
      <c r="B172" s="262"/>
      <c r="C172" s="263"/>
      <c r="D172" s="263"/>
      <c r="E172" s="263" t="s">
        <v>962</v>
      </c>
      <c r="F172" s="278" t="s">
        <v>966</v>
      </c>
      <c r="G172" s="279">
        <v>6</v>
      </c>
      <c r="H172" s="284">
        <v>10506</v>
      </c>
      <c r="I172" s="265">
        <f t="shared" si="7"/>
        <v>63036</v>
      </c>
      <c r="J172" s="262" t="s">
        <v>81</v>
      </c>
      <c r="K172" s="262" t="s">
        <v>1167</v>
      </c>
      <c r="L172" s="262"/>
    </row>
    <row r="173" spans="1:12" s="267" customFormat="1" ht="21" customHeight="1" x14ac:dyDescent="0.35">
      <c r="A173" s="262"/>
      <c r="B173" s="262"/>
      <c r="C173" s="263"/>
      <c r="D173" s="263"/>
      <c r="E173" s="263" t="s">
        <v>980</v>
      </c>
      <c r="F173" s="278" t="s">
        <v>965</v>
      </c>
      <c r="G173" s="279">
        <v>4</v>
      </c>
      <c r="H173" s="284">
        <v>9239</v>
      </c>
      <c r="I173" s="265">
        <f>G173*H173</f>
        <v>36956</v>
      </c>
      <c r="J173" s="262" t="s">
        <v>81</v>
      </c>
      <c r="K173" s="262" t="s">
        <v>1167</v>
      </c>
      <c r="L173" s="262"/>
    </row>
    <row r="174" spans="1:12" s="267" customFormat="1" ht="21" customHeight="1" x14ac:dyDescent="0.35">
      <c r="A174" s="262"/>
      <c r="B174" s="262"/>
      <c r="C174" s="263"/>
      <c r="D174" s="263"/>
      <c r="E174" s="263" t="s">
        <v>981</v>
      </c>
      <c r="F174" s="278" t="s">
        <v>964</v>
      </c>
      <c r="G174" s="279">
        <v>6</v>
      </c>
      <c r="H174" s="284">
        <v>10461</v>
      </c>
      <c r="I174" s="265">
        <f>G174*H174</f>
        <v>62766</v>
      </c>
      <c r="J174" s="262" t="s">
        <v>81</v>
      </c>
      <c r="K174" s="262" t="s">
        <v>1167</v>
      </c>
      <c r="L174" s="262"/>
    </row>
    <row r="175" spans="1:12" s="267" customFormat="1" ht="21" customHeight="1" x14ac:dyDescent="0.35">
      <c r="A175" s="262"/>
      <c r="B175" s="262"/>
      <c r="C175" s="263"/>
      <c r="D175" s="263"/>
      <c r="E175" s="263" t="s">
        <v>982</v>
      </c>
      <c r="F175" s="278" t="s">
        <v>963</v>
      </c>
      <c r="G175" s="279">
        <v>19</v>
      </c>
      <c r="H175" s="284">
        <v>14567</v>
      </c>
      <c r="I175" s="265">
        <f>G175*H175</f>
        <v>276773</v>
      </c>
      <c r="J175" s="262" t="s">
        <v>81</v>
      </c>
      <c r="K175" s="262" t="s">
        <v>1167</v>
      </c>
      <c r="L175" s="262"/>
    </row>
    <row r="176" spans="1:12" s="267" customFormat="1" ht="21" customHeight="1" x14ac:dyDescent="0.35">
      <c r="A176" s="262">
        <v>67</v>
      </c>
      <c r="B176" s="262" t="s">
        <v>983</v>
      </c>
      <c r="C176" s="263" t="s">
        <v>984</v>
      </c>
      <c r="D176" s="263">
        <v>0.92252314814814806</v>
      </c>
      <c r="E176" s="263" t="s">
        <v>985</v>
      </c>
      <c r="F176" s="278" t="s">
        <v>997</v>
      </c>
      <c r="G176" s="279">
        <v>2</v>
      </c>
      <c r="H176" s="284">
        <v>1698810</v>
      </c>
      <c r="I176" s="265">
        <f>G176*H176</f>
        <v>3397620</v>
      </c>
      <c r="J176" s="262" t="s">
        <v>1169</v>
      </c>
      <c r="K176" s="262" t="s">
        <v>1167</v>
      </c>
      <c r="L176" s="262"/>
    </row>
    <row r="177" spans="1:12" s="267" customFormat="1" ht="21" customHeight="1" x14ac:dyDescent="0.35">
      <c r="A177" s="262">
        <v>68</v>
      </c>
      <c r="B177" s="262" t="s">
        <v>986</v>
      </c>
      <c r="C177" s="263" t="s">
        <v>984</v>
      </c>
      <c r="D177" s="263" t="s">
        <v>748</v>
      </c>
      <c r="E177" s="263" t="s">
        <v>988</v>
      </c>
      <c r="F177" s="278" t="s">
        <v>987</v>
      </c>
      <c r="G177" s="279">
        <v>8</v>
      </c>
      <c r="H177" s="284">
        <v>4610</v>
      </c>
      <c r="I177" s="265">
        <f t="shared" si="7"/>
        <v>36880</v>
      </c>
      <c r="J177" s="262" t="s">
        <v>81</v>
      </c>
      <c r="K177" s="262" t="s">
        <v>1167</v>
      </c>
      <c r="L177" s="262"/>
    </row>
    <row r="178" spans="1:12" s="267" customFormat="1" ht="21" customHeight="1" x14ac:dyDescent="0.35">
      <c r="A178" s="262"/>
      <c r="B178" s="262"/>
      <c r="C178" s="263"/>
      <c r="D178" s="263"/>
      <c r="E178" s="263" t="s">
        <v>990</v>
      </c>
      <c r="F178" s="278" t="s">
        <v>989</v>
      </c>
      <c r="G178" s="279">
        <v>7</v>
      </c>
      <c r="H178" s="284">
        <v>6550</v>
      </c>
      <c r="I178" s="265">
        <f t="shared" si="7"/>
        <v>45850</v>
      </c>
      <c r="J178" s="262" t="s">
        <v>81</v>
      </c>
      <c r="K178" s="262" t="s">
        <v>1167</v>
      </c>
      <c r="L178" s="262"/>
    </row>
    <row r="179" spans="1:12" s="267" customFormat="1" ht="21" customHeight="1" x14ac:dyDescent="0.35">
      <c r="A179" s="262"/>
      <c r="B179" s="262"/>
      <c r="C179" s="263"/>
      <c r="D179" s="263"/>
      <c r="E179" s="263" t="s">
        <v>991</v>
      </c>
      <c r="F179" s="278" t="s">
        <v>992</v>
      </c>
      <c r="G179" s="279">
        <v>4</v>
      </c>
      <c r="H179" s="284">
        <v>4700</v>
      </c>
      <c r="I179" s="265">
        <f>G179*H179</f>
        <v>18800</v>
      </c>
      <c r="J179" s="262" t="s">
        <v>81</v>
      </c>
      <c r="K179" s="262" t="s">
        <v>1167</v>
      </c>
      <c r="L179" s="262"/>
    </row>
    <row r="180" spans="1:12" s="267" customFormat="1" ht="21" customHeight="1" x14ac:dyDescent="0.35">
      <c r="A180" s="262"/>
      <c r="B180" s="262"/>
      <c r="C180" s="263"/>
      <c r="D180" s="263"/>
      <c r="E180" s="263" t="s">
        <v>995</v>
      </c>
      <c r="F180" s="278" t="s">
        <v>993</v>
      </c>
      <c r="G180" s="279">
        <v>4</v>
      </c>
      <c r="H180" s="284">
        <v>5055</v>
      </c>
      <c r="I180" s="265">
        <f>G180*H180</f>
        <v>20220</v>
      </c>
      <c r="J180" s="262" t="s">
        <v>81</v>
      </c>
      <c r="K180" s="262" t="s">
        <v>1167</v>
      </c>
      <c r="L180" s="262"/>
    </row>
    <row r="181" spans="1:12" s="267" customFormat="1" ht="21" customHeight="1" x14ac:dyDescent="0.35">
      <c r="A181" s="262"/>
      <c r="B181" s="262"/>
      <c r="C181" s="263"/>
      <c r="D181" s="263"/>
      <c r="E181" s="263" t="s">
        <v>996</v>
      </c>
      <c r="F181" s="278" t="s">
        <v>994</v>
      </c>
      <c r="G181" s="279">
        <v>6</v>
      </c>
      <c r="H181" s="284">
        <v>18100</v>
      </c>
      <c r="I181" s="265">
        <f t="shared" si="7"/>
        <v>108600</v>
      </c>
      <c r="J181" s="262" t="s">
        <v>81</v>
      </c>
      <c r="K181" s="262" t="s">
        <v>1167</v>
      </c>
      <c r="L181" s="262"/>
    </row>
    <row r="182" spans="1:12" s="570" customFormat="1" ht="17.399999999999999" customHeight="1" x14ac:dyDescent="0.3">
      <c r="A182" s="565">
        <v>69</v>
      </c>
      <c r="B182" s="566" t="s">
        <v>1116</v>
      </c>
      <c r="C182" s="566" t="s">
        <v>1000</v>
      </c>
      <c r="D182" s="566" t="s">
        <v>1117</v>
      </c>
      <c r="E182" s="565" t="s">
        <v>1118</v>
      </c>
      <c r="F182" s="567" t="s">
        <v>1119</v>
      </c>
      <c r="G182" s="568">
        <v>2</v>
      </c>
      <c r="H182" s="569">
        <v>2772</v>
      </c>
      <c r="I182" s="569">
        <f t="shared" si="7"/>
        <v>5544</v>
      </c>
      <c r="J182" s="566" t="s">
        <v>493</v>
      </c>
      <c r="K182" s="262" t="s">
        <v>1167</v>
      </c>
      <c r="L182" s="566"/>
    </row>
    <row r="183" spans="1:12" s="570" customFormat="1" ht="17.399999999999999" customHeight="1" x14ac:dyDescent="0.3">
      <c r="A183" s="566"/>
      <c r="B183" s="566"/>
      <c r="C183" s="566"/>
      <c r="D183" s="566"/>
      <c r="E183" s="565" t="s">
        <v>1120</v>
      </c>
      <c r="F183" s="567" t="s">
        <v>1121</v>
      </c>
      <c r="G183" s="568">
        <v>2</v>
      </c>
      <c r="H183" s="569">
        <v>70686.990000000005</v>
      </c>
      <c r="I183" s="569">
        <f t="shared" si="7"/>
        <v>141373.98000000001</v>
      </c>
      <c r="J183" s="566" t="s">
        <v>493</v>
      </c>
      <c r="K183" s="262" t="s">
        <v>1167</v>
      </c>
      <c r="L183" s="566"/>
    </row>
    <row r="184" spans="1:12" s="570" customFormat="1" ht="17.399999999999999" customHeight="1" x14ac:dyDescent="0.3">
      <c r="A184" s="566"/>
      <c r="B184" s="566"/>
      <c r="C184" s="566"/>
      <c r="D184" s="566"/>
      <c r="E184" s="565" t="s">
        <v>1122</v>
      </c>
      <c r="F184" s="567" t="s">
        <v>1123</v>
      </c>
      <c r="G184" s="568">
        <v>7</v>
      </c>
      <c r="H184" s="569">
        <v>17738.82</v>
      </c>
      <c r="I184" s="569">
        <f t="shared" si="7"/>
        <v>124171.73999999999</v>
      </c>
      <c r="J184" s="566" t="s">
        <v>493</v>
      </c>
      <c r="K184" s="262" t="s">
        <v>1167</v>
      </c>
      <c r="L184" s="566"/>
    </row>
    <row r="185" spans="1:12" s="570" customFormat="1" ht="17.399999999999999" customHeight="1" x14ac:dyDescent="0.3">
      <c r="A185" s="566"/>
      <c r="B185" s="566"/>
      <c r="C185" s="566"/>
      <c r="D185" s="566"/>
      <c r="E185" s="565" t="s">
        <v>1124</v>
      </c>
      <c r="F185" s="567" t="s">
        <v>1125</v>
      </c>
      <c r="G185" s="568">
        <v>4</v>
      </c>
      <c r="H185" s="569">
        <v>13103.64</v>
      </c>
      <c r="I185" s="569">
        <f t="shared" si="7"/>
        <v>52414.559999999998</v>
      </c>
      <c r="J185" s="566" t="s">
        <v>493</v>
      </c>
      <c r="K185" s="262" t="s">
        <v>1167</v>
      </c>
      <c r="L185" s="566"/>
    </row>
    <row r="186" spans="1:12" s="570" customFormat="1" ht="17.399999999999999" customHeight="1" x14ac:dyDescent="0.3">
      <c r="A186" s="566"/>
      <c r="B186" s="566"/>
      <c r="C186" s="566"/>
      <c r="D186" s="566"/>
      <c r="E186" s="565" t="s">
        <v>1126</v>
      </c>
      <c r="F186" s="567" t="s">
        <v>1127</v>
      </c>
      <c r="G186" s="568">
        <v>5</v>
      </c>
      <c r="H186" s="569">
        <v>44004.51</v>
      </c>
      <c r="I186" s="569">
        <f t="shared" si="7"/>
        <v>220022.55000000002</v>
      </c>
      <c r="J186" s="566" t="s">
        <v>493</v>
      </c>
      <c r="K186" s="262" t="s">
        <v>1167</v>
      </c>
      <c r="L186" s="566"/>
    </row>
    <row r="187" spans="1:12" s="570" customFormat="1" ht="17.399999999999999" customHeight="1" x14ac:dyDescent="0.3">
      <c r="A187" s="566"/>
      <c r="B187" s="566"/>
      <c r="C187" s="566"/>
      <c r="D187" s="566"/>
      <c r="E187" s="565" t="s">
        <v>1128</v>
      </c>
      <c r="F187" s="567" t="s">
        <v>1129</v>
      </c>
      <c r="G187" s="568">
        <v>5</v>
      </c>
      <c r="H187" s="569">
        <v>18900.09</v>
      </c>
      <c r="I187" s="569">
        <f t="shared" si="7"/>
        <v>94500.45</v>
      </c>
      <c r="J187" s="566" t="s">
        <v>493</v>
      </c>
      <c r="K187" s="262" t="s">
        <v>1167</v>
      </c>
      <c r="L187" s="566"/>
    </row>
    <row r="188" spans="1:12" s="570" customFormat="1" ht="17.399999999999999" customHeight="1" x14ac:dyDescent="0.3">
      <c r="A188" s="566"/>
      <c r="B188" s="566"/>
      <c r="C188" s="566"/>
      <c r="D188" s="566"/>
      <c r="E188" s="565" t="s">
        <v>1130</v>
      </c>
      <c r="F188" s="567" t="s">
        <v>1131</v>
      </c>
      <c r="G188" s="568">
        <v>4</v>
      </c>
      <c r="H188" s="569">
        <v>126737.82</v>
      </c>
      <c r="I188" s="569">
        <f t="shared" si="7"/>
        <v>506951.28</v>
      </c>
      <c r="J188" s="566" t="s">
        <v>493</v>
      </c>
      <c r="K188" s="262" t="s">
        <v>1167</v>
      </c>
      <c r="L188" s="566"/>
    </row>
    <row r="189" spans="1:12" s="570" customFormat="1" ht="17.399999999999999" customHeight="1" x14ac:dyDescent="0.3">
      <c r="A189" s="566"/>
      <c r="B189" s="566"/>
      <c r="C189" s="566"/>
      <c r="D189" s="566"/>
      <c r="E189" s="565" t="s">
        <v>1132</v>
      </c>
      <c r="F189" s="567" t="s">
        <v>1133</v>
      </c>
      <c r="G189" s="568">
        <v>4</v>
      </c>
      <c r="H189" s="569">
        <v>24683.67</v>
      </c>
      <c r="I189" s="569">
        <f t="shared" si="7"/>
        <v>98734.68</v>
      </c>
      <c r="J189" s="566" t="s">
        <v>493</v>
      </c>
      <c r="K189" s="262" t="s">
        <v>1167</v>
      </c>
      <c r="L189" s="566"/>
    </row>
    <row r="190" spans="1:12" s="570" customFormat="1" ht="17.399999999999999" customHeight="1" x14ac:dyDescent="0.3">
      <c r="A190" s="566"/>
      <c r="B190" s="566"/>
      <c r="C190" s="566"/>
      <c r="D190" s="566"/>
      <c r="E190" s="565" t="s">
        <v>1134</v>
      </c>
      <c r="F190" s="567" t="s">
        <v>1135</v>
      </c>
      <c r="G190" s="568">
        <v>8</v>
      </c>
      <c r="H190" s="569">
        <v>11996.82</v>
      </c>
      <c r="I190" s="569">
        <f t="shared" si="7"/>
        <v>95974.56</v>
      </c>
      <c r="J190" s="566" t="s">
        <v>493</v>
      </c>
      <c r="K190" s="262" t="s">
        <v>1167</v>
      </c>
      <c r="L190" s="566"/>
    </row>
    <row r="191" spans="1:12" s="570" customFormat="1" ht="17.399999999999999" customHeight="1" x14ac:dyDescent="0.3">
      <c r="A191" s="566"/>
      <c r="B191" s="566"/>
      <c r="C191" s="566"/>
      <c r="D191" s="566"/>
      <c r="E191" s="565" t="s">
        <v>1136</v>
      </c>
      <c r="F191" s="567" t="s">
        <v>1137</v>
      </c>
      <c r="G191" s="568">
        <v>3</v>
      </c>
      <c r="H191" s="569">
        <v>2603.6999999999998</v>
      </c>
      <c r="I191" s="569">
        <f t="shared" si="7"/>
        <v>7811.0999999999995</v>
      </c>
      <c r="J191" s="566" t="s">
        <v>493</v>
      </c>
      <c r="K191" s="262" t="s">
        <v>1167</v>
      </c>
      <c r="L191" s="566"/>
    </row>
    <row r="192" spans="1:12" s="570" customFormat="1" ht="17.399999999999999" customHeight="1" x14ac:dyDescent="0.3">
      <c r="A192" s="566"/>
      <c r="B192" s="566"/>
      <c r="C192" s="566"/>
      <c r="D192" s="566"/>
      <c r="E192" s="565" t="s">
        <v>1138</v>
      </c>
      <c r="F192" s="567" t="s">
        <v>1139</v>
      </c>
      <c r="G192" s="568">
        <v>3</v>
      </c>
      <c r="H192" s="569">
        <v>1245.42</v>
      </c>
      <c r="I192" s="569">
        <f t="shared" si="7"/>
        <v>3736.26</v>
      </c>
      <c r="J192" s="566" t="s">
        <v>493</v>
      </c>
      <c r="K192" s="262" t="s">
        <v>1167</v>
      </c>
      <c r="L192" s="566"/>
    </row>
    <row r="193" spans="1:12" s="570" customFormat="1" ht="17.399999999999999" customHeight="1" x14ac:dyDescent="0.3">
      <c r="A193" s="566"/>
      <c r="B193" s="566"/>
      <c r="C193" s="566"/>
      <c r="D193" s="566"/>
      <c r="E193" s="565" t="s">
        <v>1140</v>
      </c>
      <c r="F193" s="567" t="s">
        <v>1141</v>
      </c>
      <c r="G193" s="568">
        <v>6</v>
      </c>
      <c r="H193" s="569">
        <v>65.34</v>
      </c>
      <c r="I193" s="569">
        <f t="shared" si="7"/>
        <v>392.04</v>
      </c>
      <c r="J193" s="566" t="s">
        <v>493</v>
      </c>
      <c r="K193" s="262" t="s">
        <v>1167</v>
      </c>
      <c r="L193" s="566"/>
    </row>
    <row r="194" spans="1:12" s="570" customFormat="1" ht="17.399999999999999" customHeight="1" x14ac:dyDescent="0.3">
      <c r="A194" s="566"/>
      <c r="B194" s="566"/>
      <c r="C194" s="566"/>
      <c r="D194" s="566"/>
      <c r="E194" s="565" t="s">
        <v>1142</v>
      </c>
      <c r="F194" s="567" t="s">
        <v>1143</v>
      </c>
      <c r="G194" s="568">
        <v>3</v>
      </c>
      <c r="H194" s="569">
        <v>1082.07</v>
      </c>
      <c r="I194" s="569">
        <f t="shared" si="7"/>
        <v>3246.21</v>
      </c>
      <c r="J194" s="566" t="s">
        <v>493</v>
      </c>
      <c r="K194" s="262" t="s">
        <v>1167</v>
      </c>
      <c r="L194" s="566"/>
    </row>
    <row r="195" spans="1:12" s="570" customFormat="1" ht="17.399999999999999" customHeight="1" x14ac:dyDescent="0.3">
      <c r="A195" s="566"/>
      <c r="B195" s="566"/>
      <c r="C195" s="566"/>
      <c r="D195" s="566"/>
      <c r="E195" s="565" t="s">
        <v>1144</v>
      </c>
      <c r="F195" s="567" t="s">
        <v>1145</v>
      </c>
      <c r="G195" s="568">
        <v>6</v>
      </c>
      <c r="H195" s="569">
        <v>125.73</v>
      </c>
      <c r="I195" s="569">
        <f t="shared" si="7"/>
        <v>754.38</v>
      </c>
      <c r="J195" s="566" t="s">
        <v>493</v>
      </c>
      <c r="K195" s="262" t="s">
        <v>1167</v>
      </c>
      <c r="L195" s="566"/>
    </row>
    <row r="196" spans="1:12" s="267" customFormat="1" ht="18" customHeight="1" x14ac:dyDescent="0.35">
      <c r="A196" s="262">
        <v>70</v>
      </c>
      <c r="B196" s="262" t="s">
        <v>1042</v>
      </c>
      <c r="C196" s="263" t="s">
        <v>1043</v>
      </c>
      <c r="D196" s="263" t="s">
        <v>1044</v>
      </c>
      <c r="E196" s="263" t="s">
        <v>1045</v>
      </c>
      <c r="F196" s="278" t="s">
        <v>1046</v>
      </c>
      <c r="G196" s="279">
        <v>1</v>
      </c>
      <c r="H196" s="284">
        <v>116454</v>
      </c>
      <c r="I196" s="265">
        <f t="shared" ref="I196:I239" si="8">G196*H196</f>
        <v>116454</v>
      </c>
      <c r="J196" s="262" t="s">
        <v>65</v>
      </c>
      <c r="K196" s="262" t="s">
        <v>1167</v>
      </c>
      <c r="L196" s="262"/>
    </row>
    <row r="197" spans="1:12" s="267" customFormat="1" ht="18" customHeight="1" x14ac:dyDescent="0.35">
      <c r="A197" s="262"/>
      <c r="B197" s="262"/>
      <c r="C197" s="263"/>
      <c r="D197" s="263"/>
      <c r="E197" s="263" t="s">
        <v>1047</v>
      </c>
      <c r="F197" s="278" t="s">
        <v>1048</v>
      </c>
      <c r="G197" s="279">
        <v>1</v>
      </c>
      <c r="H197" s="284">
        <v>20467</v>
      </c>
      <c r="I197" s="265">
        <f t="shared" si="8"/>
        <v>20467</v>
      </c>
      <c r="J197" s="262" t="s">
        <v>65</v>
      </c>
      <c r="K197" s="262" t="s">
        <v>1167</v>
      </c>
      <c r="L197" s="262"/>
    </row>
    <row r="198" spans="1:12" s="267" customFormat="1" ht="18" customHeight="1" x14ac:dyDescent="0.35">
      <c r="A198" s="262"/>
      <c r="B198" s="262"/>
      <c r="C198" s="263"/>
      <c r="D198" s="263"/>
      <c r="E198" s="263" t="s">
        <v>1049</v>
      </c>
      <c r="F198" s="278" t="s">
        <v>1050</v>
      </c>
      <c r="G198" s="279">
        <v>1</v>
      </c>
      <c r="H198" s="284">
        <v>8317</v>
      </c>
      <c r="I198" s="265">
        <f t="shared" si="8"/>
        <v>8317</v>
      </c>
      <c r="J198" s="262" t="s">
        <v>65</v>
      </c>
      <c r="K198" s="262" t="s">
        <v>1167</v>
      </c>
      <c r="L198" s="262"/>
    </row>
    <row r="199" spans="1:12" s="267" customFormat="1" ht="18" customHeight="1" x14ac:dyDescent="0.35">
      <c r="A199" s="262"/>
      <c r="B199" s="262"/>
      <c r="C199" s="263"/>
      <c r="D199" s="263"/>
      <c r="E199" s="263" t="s">
        <v>1051</v>
      </c>
      <c r="F199" s="278" t="s">
        <v>1052</v>
      </c>
      <c r="G199" s="279">
        <v>1</v>
      </c>
      <c r="H199" s="284">
        <v>5112</v>
      </c>
      <c r="I199" s="265">
        <f t="shared" si="8"/>
        <v>5112</v>
      </c>
      <c r="J199" s="262" t="s">
        <v>65</v>
      </c>
      <c r="K199" s="262" t="s">
        <v>1167</v>
      </c>
      <c r="L199" s="262"/>
    </row>
    <row r="200" spans="1:12" s="267" customFormat="1" ht="18" customHeight="1" x14ac:dyDescent="0.35">
      <c r="A200" s="262"/>
      <c r="B200" s="262"/>
      <c r="C200" s="263"/>
      <c r="D200" s="263"/>
      <c r="E200" s="263" t="s">
        <v>1053</v>
      </c>
      <c r="F200" s="278" t="s">
        <v>1054</v>
      </c>
      <c r="G200" s="279">
        <v>1</v>
      </c>
      <c r="H200" s="284">
        <v>5567</v>
      </c>
      <c r="I200" s="265">
        <f t="shared" si="8"/>
        <v>5567</v>
      </c>
      <c r="J200" s="262" t="s">
        <v>65</v>
      </c>
      <c r="K200" s="262" t="s">
        <v>1167</v>
      </c>
      <c r="L200" s="262"/>
    </row>
    <row r="201" spans="1:12" s="267" customFormat="1" ht="18" customHeight="1" x14ac:dyDescent="0.35">
      <c r="A201" s="262"/>
      <c r="B201" s="262"/>
      <c r="C201" s="263"/>
      <c r="D201" s="263"/>
      <c r="E201" s="263" t="s">
        <v>1055</v>
      </c>
      <c r="F201" s="278" t="s">
        <v>1056</v>
      </c>
      <c r="G201" s="279">
        <v>1</v>
      </c>
      <c r="H201" s="284">
        <v>2503</v>
      </c>
      <c r="I201" s="265">
        <f t="shared" si="8"/>
        <v>2503</v>
      </c>
      <c r="J201" s="262" t="s">
        <v>65</v>
      </c>
      <c r="K201" s="262" t="s">
        <v>1167</v>
      </c>
      <c r="L201" s="262"/>
    </row>
    <row r="202" spans="1:12" s="267" customFormat="1" ht="18" customHeight="1" x14ac:dyDescent="0.35">
      <c r="A202" s="262"/>
      <c r="B202" s="262"/>
      <c r="C202" s="263"/>
      <c r="D202" s="263"/>
      <c r="E202" s="263" t="s">
        <v>1057</v>
      </c>
      <c r="F202" s="278" t="s">
        <v>1058</v>
      </c>
      <c r="G202" s="279">
        <v>1</v>
      </c>
      <c r="H202" s="284">
        <v>24365</v>
      </c>
      <c r="I202" s="265">
        <f t="shared" si="8"/>
        <v>24365</v>
      </c>
      <c r="J202" s="262" t="s">
        <v>65</v>
      </c>
      <c r="K202" s="262" t="s">
        <v>1167</v>
      </c>
      <c r="L202" s="262"/>
    </row>
    <row r="203" spans="1:12" s="277" customFormat="1" ht="18" customHeight="1" x14ac:dyDescent="0.35">
      <c r="A203" s="275"/>
      <c r="B203" s="275"/>
      <c r="C203" s="276"/>
      <c r="D203" s="276"/>
      <c r="E203" s="571" t="s">
        <v>1059</v>
      </c>
      <c r="F203" s="572" t="s">
        <v>1060</v>
      </c>
      <c r="G203" s="573">
        <v>1</v>
      </c>
      <c r="H203" s="574">
        <v>5827</v>
      </c>
      <c r="I203" s="575">
        <f t="shared" si="8"/>
        <v>5827</v>
      </c>
      <c r="J203" s="576" t="s">
        <v>81</v>
      </c>
      <c r="K203" s="275" t="s">
        <v>1167</v>
      </c>
      <c r="L203" s="275"/>
    </row>
    <row r="204" spans="1:12" s="267" customFormat="1" ht="18" customHeight="1" x14ac:dyDescent="0.35">
      <c r="A204" s="262"/>
      <c r="B204" s="262"/>
      <c r="C204" s="263"/>
      <c r="D204" s="263"/>
      <c r="E204" s="263" t="s">
        <v>1061</v>
      </c>
      <c r="F204" s="278" t="s">
        <v>1062</v>
      </c>
      <c r="G204" s="279">
        <v>1</v>
      </c>
      <c r="H204" s="284">
        <v>4134</v>
      </c>
      <c r="I204" s="265">
        <f t="shared" si="8"/>
        <v>4134</v>
      </c>
      <c r="J204" s="262" t="s">
        <v>65</v>
      </c>
      <c r="K204" s="262" t="s">
        <v>1167</v>
      </c>
      <c r="L204" s="262"/>
    </row>
    <row r="205" spans="1:12" s="267" customFormat="1" ht="18" customHeight="1" x14ac:dyDescent="0.35">
      <c r="A205" s="262"/>
      <c r="B205" s="262"/>
      <c r="C205" s="263"/>
      <c r="D205" s="263"/>
      <c r="E205" s="263" t="s">
        <v>1063</v>
      </c>
      <c r="F205" s="278" t="s">
        <v>1064</v>
      </c>
      <c r="G205" s="279">
        <v>1</v>
      </c>
      <c r="H205" s="284">
        <v>4375</v>
      </c>
      <c r="I205" s="265">
        <f t="shared" si="8"/>
        <v>4375</v>
      </c>
      <c r="J205" s="262" t="s">
        <v>65</v>
      </c>
      <c r="K205" s="262" t="s">
        <v>1167</v>
      </c>
      <c r="L205" s="262"/>
    </row>
    <row r="206" spans="1:12" s="267" customFormat="1" ht="18" customHeight="1" x14ac:dyDescent="0.35">
      <c r="A206" s="262"/>
      <c r="B206" s="262"/>
      <c r="C206" s="263"/>
      <c r="D206" s="263"/>
      <c r="E206" s="263" t="s">
        <v>1065</v>
      </c>
      <c r="F206" s="278" t="s">
        <v>1066</v>
      </c>
      <c r="G206" s="279">
        <v>1</v>
      </c>
      <c r="H206" s="284">
        <v>2204</v>
      </c>
      <c r="I206" s="265">
        <f t="shared" si="8"/>
        <v>2204</v>
      </c>
      <c r="J206" s="262" t="s">
        <v>65</v>
      </c>
      <c r="K206" s="262" t="s">
        <v>1167</v>
      </c>
      <c r="L206" s="262"/>
    </row>
    <row r="207" spans="1:12" s="570" customFormat="1" ht="17.399999999999999" customHeight="1" x14ac:dyDescent="0.3">
      <c r="A207" s="565">
        <v>71</v>
      </c>
      <c r="B207" s="566" t="s">
        <v>1070</v>
      </c>
      <c r="C207" s="566" t="s">
        <v>1000</v>
      </c>
      <c r="D207" s="566" t="s">
        <v>1071</v>
      </c>
      <c r="E207" s="565" t="s">
        <v>1072</v>
      </c>
      <c r="F207" s="566" t="s">
        <v>1094</v>
      </c>
      <c r="G207" s="565">
        <v>1</v>
      </c>
      <c r="H207" s="569">
        <v>2486.88</v>
      </c>
      <c r="I207" s="569">
        <f t="shared" si="8"/>
        <v>2486.88</v>
      </c>
      <c r="J207" s="262" t="s">
        <v>65</v>
      </c>
      <c r="K207" s="566" t="s">
        <v>1168</v>
      </c>
      <c r="L207" s="566"/>
    </row>
    <row r="208" spans="1:12" s="570" customFormat="1" ht="17.399999999999999" customHeight="1" x14ac:dyDescent="0.3">
      <c r="A208" s="566"/>
      <c r="B208" s="566"/>
      <c r="C208" s="566"/>
      <c r="D208" s="566"/>
      <c r="E208" s="565" t="s">
        <v>1073</v>
      </c>
      <c r="F208" s="567" t="s">
        <v>1113</v>
      </c>
      <c r="G208" s="568">
        <v>1</v>
      </c>
      <c r="H208" s="569">
        <v>265009.14</v>
      </c>
      <c r="I208" s="569">
        <f t="shared" si="8"/>
        <v>265009.14</v>
      </c>
      <c r="J208" s="262" t="s">
        <v>65</v>
      </c>
      <c r="K208" s="566" t="s">
        <v>1168</v>
      </c>
      <c r="L208" s="566"/>
    </row>
    <row r="209" spans="1:12" s="570" customFormat="1" ht="17.399999999999999" customHeight="1" x14ac:dyDescent="0.3">
      <c r="A209" s="566"/>
      <c r="B209" s="566"/>
      <c r="C209" s="566"/>
      <c r="D209" s="566"/>
      <c r="E209" s="565" t="s">
        <v>1074</v>
      </c>
      <c r="F209" s="567" t="s">
        <v>1095</v>
      </c>
      <c r="G209" s="568">
        <v>1</v>
      </c>
      <c r="H209" s="569">
        <v>4378.7700000000004</v>
      </c>
      <c r="I209" s="569">
        <f t="shared" si="8"/>
        <v>4378.7700000000004</v>
      </c>
      <c r="J209" s="262" t="s">
        <v>65</v>
      </c>
      <c r="K209" s="566" t="s">
        <v>1168</v>
      </c>
      <c r="L209" s="566"/>
    </row>
    <row r="210" spans="1:12" s="570" customFormat="1" ht="17.399999999999999" customHeight="1" x14ac:dyDescent="0.3">
      <c r="A210" s="566"/>
      <c r="B210" s="566"/>
      <c r="C210" s="566"/>
      <c r="D210" s="566"/>
      <c r="E210" s="565" t="s">
        <v>1075</v>
      </c>
      <c r="F210" s="567" t="s">
        <v>1096</v>
      </c>
      <c r="G210" s="568">
        <v>1</v>
      </c>
      <c r="H210" s="569">
        <v>7297.29</v>
      </c>
      <c r="I210" s="569">
        <f t="shared" si="8"/>
        <v>7297.29</v>
      </c>
      <c r="J210" s="262" t="s">
        <v>65</v>
      </c>
      <c r="K210" s="566" t="s">
        <v>1168</v>
      </c>
      <c r="L210" s="566"/>
    </row>
    <row r="211" spans="1:12" s="570" customFormat="1" ht="17.399999999999999" customHeight="1" x14ac:dyDescent="0.3">
      <c r="A211" s="566"/>
      <c r="B211" s="566"/>
      <c r="C211" s="566"/>
      <c r="D211" s="566"/>
      <c r="E211" s="565" t="s">
        <v>1076</v>
      </c>
      <c r="F211" s="567" t="s">
        <v>1097</v>
      </c>
      <c r="G211" s="568">
        <v>1</v>
      </c>
      <c r="H211" s="569">
        <v>1603.8</v>
      </c>
      <c r="I211" s="569">
        <f t="shared" si="8"/>
        <v>1603.8</v>
      </c>
      <c r="J211" s="262" t="s">
        <v>65</v>
      </c>
      <c r="K211" s="566" t="s">
        <v>1168</v>
      </c>
      <c r="L211" s="566"/>
    </row>
    <row r="212" spans="1:12" s="570" customFormat="1" ht="17.399999999999999" customHeight="1" x14ac:dyDescent="0.3">
      <c r="A212" s="566"/>
      <c r="B212" s="566"/>
      <c r="C212" s="566"/>
      <c r="D212" s="566"/>
      <c r="E212" s="565" t="s">
        <v>1077</v>
      </c>
      <c r="F212" s="567" t="s">
        <v>1115</v>
      </c>
      <c r="G212" s="568">
        <v>2</v>
      </c>
      <c r="H212" s="569">
        <v>132712.47</v>
      </c>
      <c r="I212" s="569">
        <f t="shared" si="8"/>
        <v>265424.94</v>
      </c>
      <c r="J212" s="262" t="s">
        <v>65</v>
      </c>
      <c r="K212" s="566" t="s">
        <v>1168</v>
      </c>
      <c r="L212" s="566"/>
    </row>
    <row r="213" spans="1:12" s="570" customFormat="1" ht="17.399999999999999" customHeight="1" x14ac:dyDescent="0.3">
      <c r="A213" s="566"/>
      <c r="B213" s="566"/>
      <c r="C213" s="566"/>
      <c r="D213" s="566"/>
      <c r="E213" s="565" t="s">
        <v>1078</v>
      </c>
      <c r="F213" s="567" t="s">
        <v>1098</v>
      </c>
      <c r="G213" s="568">
        <v>1</v>
      </c>
      <c r="H213" s="569">
        <v>468847.17</v>
      </c>
      <c r="I213" s="569">
        <f t="shared" si="8"/>
        <v>468847.17</v>
      </c>
      <c r="J213" s="262" t="s">
        <v>65</v>
      </c>
      <c r="K213" s="566" t="s">
        <v>1168</v>
      </c>
      <c r="L213" s="566"/>
    </row>
    <row r="214" spans="1:12" s="570" customFormat="1" ht="17.399999999999999" customHeight="1" x14ac:dyDescent="0.3">
      <c r="A214" s="566"/>
      <c r="B214" s="566"/>
      <c r="C214" s="566"/>
      <c r="D214" s="566"/>
      <c r="E214" s="565" t="s">
        <v>1079</v>
      </c>
      <c r="F214" s="567" t="s">
        <v>1114</v>
      </c>
      <c r="G214" s="568">
        <v>1</v>
      </c>
      <c r="H214" s="569">
        <v>4401.54</v>
      </c>
      <c r="I214" s="569">
        <f t="shared" si="8"/>
        <v>4401.54</v>
      </c>
      <c r="J214" s="262" t="s">
        <v>65</v>
      </c>
      <c r="K214" s="566" t="s">
        <v>1168</v>
      </c>
      <c r="L214" s="566"/>
    </row>
    <row r="215" spans="1:12" s="570" customFormat="1" ht="17.399999999999999" customHeight="1" x14ac:dyDescent="0.3">
      <c r="A215" s="566"/>
      <c r="B215" s="566"/>
      <c r="C215" s="566"/>
      <c r="D215" s="566"/>
      <c r="E215" s="565" t="s">
        <v>1080</v>
      </c>
      <c r="F215" s="567" t="s">
        <v>1099</v>
      </c>
      <c r="G215" s="568">
        <v>1</v>
      </c>
      <c r="H215" s="569">
        <v>5291.55</v>
      </c>
      <c r="I215" s="569">
        <f t="shared" si="8"/>
        <v>5291.55</v>
      </c>
      <c r="J215" s="262" t="s">
        <v>65</v>
      </c>
      <c r="K215" s="566" t="s">
        <v>1168</v>
      </c>
      <c r="L215" s="566"/>
    </row>
    <row r="216" spans="1:12" s="570" customFormat="1" ht="17.399999999999999" customHeight="1" x14ac:dyDescent="0.3">
      <c r="A216" s="566"/>
      <c r="B216" s="566"/>
      <c r="C216" s="566"/>
      <c r="D216" s="566"/>
      <c r="E216" s="565" t="s">
        <v>1081</v>
      </c>
      <c r="F216" s="567" t="s">
        <v>1100</v>
      </c>
      <c r="G216" s="568">
        <v>1</v>
      </c>
      <c r="H216" s="569">
        <v>6563.7</v>
      </c>
      <c r="I216" s="569">
        <f t="shared" si="8"/>
        <v>6563.7</v>
      </c>
      <c r="J216" s="262" t="s">
        <v>65</v>
      </c>
      <c r="K216" s="566" t="s">
        <v>1168</v>
      </c>
      <c r="L216" s="566"/>
    </row>
    <row r="217" spans="1:12" s="570" customFormat="1" ht="17.399999999999999" customHeight="1" x14ac:dyDescent="0.3">
      <c r="A217" s="566"/>
      <c r="B217" s="566"/>
      <c r="C217" s="566"/>
      <c r="D217" s="566"/>
      <c r="E217" s="565" t="s">
        <v>1082</v>
      </c>
      <c r="F217" s="567" t="s">
        <v>1101</v>
      </c>
      <c r="G217" s="568">
        <v>1</v>
      </c>
      <c r="H217" s="569">
        <v>1277.0999999999999</v>
      </c>
      <c r="I217" s="569">
        <f t="shared" si="8"/>
        <v>1277.0999999999999</v>
      </c>
      <c r="J217" s="262" t="s">
        <v>65</v>
      </c>
      <c r="K217" s="566" t="s">
        <v>1168</v>
      </c>
      <c r="L217" s="566"/>
    </row>
    <row r="218" spans="1:12" s="570" customFormat="1" ht="17.399999999999999" customHeight="1" x14ac:dyDescent="0.3">
      <c r="A218" s="566"/>
      <c r="B218" s="566"/>
      <c r="C218" s="566"/>
      <c r="D218" s="566"/>
      <c r="E218" s="565" t="s">
        <v>1083</v>
      </c>
      <c r="F218" s="567" t="s">
        <v>1102</v>
      </c>
      <c r="G218" s="568">
        <v>1</v>
      </c>
      <c r="H218" s="569">
        <v>10666.26</v>
      </c>
      <c r="I218" s="569">
        <f t="shared" si="8"/>
        <v>10666.26</v>
      </c>
      <c r="J218" s="262" t="s">
        <v>65</v>
      </c>
      <c r="K218" s="566" t="s">
        <v>1168</v>
      </c>
      <c r="L218" s="566"/>
    </row>
    <row r="219" spans="1:12" s="570" customFormat="1" ht="17.399999999999999" customHeight="1" x14ac:dyDescent="0.3">
      <c r="A219" s="566"/>
      <c r="B219" s="566"/>
      <c r="C219" s="566"/>
      <c r="D219" s="566"/>
      <c r="E219" s="565" t="s">
        <v>1084</v>
      </c>
      <c r="F219" s="567" t="s">
        <v>1103</v>
      </c>
      <c r="G219" s="568">
        <v>1</v>
      </c>
      <c r="H219" s="569">
        <v>2564.1</v>
      </c>
      <c r="I219" s="569">
        <f t="shared" si="8"/>
        <v>2564.1</v>
      </c>
      <c r="J219" s="262" t="s">
        <v>65</v>
      </c>
      <c r="K219" s="566" t="s">
        <v>1168</v>
      </c>
      <c r="L219" s="566"/>
    </row>
    <row r="220" spans="1:12" s="570" customFormat="1" ht="17.399999999999999" customHeight="1" x14ac:dyDescent="0.3">
      <c r="A220" s="566"/>
      <c r="B220" s="566"/>
      <c r="C220" s="566"/>
      <c r="D220" s="566"/>
      <c r="E220" s="565" t="s">
        <v>1085</v>
      </c>
      <c r="F220" s="567" t="s">
        <v>1104</v>
      </c>
      <c r="G220" s="568">
        <v>1</v>
      </c>
      <c r="H220" s="569">
        <v>2499.75</v>
      </c>
      <c r="I220" s="569">
        <f t="shared" si="8"/>
        <v>2499.75</v>
      </c>
      <c r="J220" s="262" t="s">
        <v>65</v>
      </c>
      <c r="K220" s="566" t="s">
        <v>1168</v>
      </c>
      <c r="L220" s="566"/>
    </row>
    <row r="221" spans="1:12" s="570" customFormat="1" ht="17.399999999999999" customHeight="1" x14ac:dyDescent="0.3">
      <c r="A221" s="566"/>
      <c r="B221" s="566"/>
      <c r="C221" s="566"/>
      <c r="D221" s="566"/>
      <c r="E221" s="565" t="s">
        <v>1086</v>
      </c>
      <c r="F221" s="567" t="s">
        <v>1105</v>
      </c>
      <c r="G221" s="568">
        <v>1</v>
      </c>
      <c r="H221" s="569">
        <v>177185.25</v>
      </c>
      <c r="I221" s="569">
        <f t="shared" ref="I221:I228" si="9">G221*H221</f>
        <v>177185.25</v>
      </c>
      <c r="J221" s="262" t="s">
        <v>65</v>
      </c>
      <c r="K221" s="566" t="s">
        <v>1168</v>
      </c>
      <c r="L221" s="566"/>
    </row>
    <row r="222" spans="1:12" s="570" customFormat="1" ht="17.399999999999999" customHeight="1" x14ac:dyDescent="0.3">
      <c r="A222" s="566"/>
      <c r="B222" s="566"/>
      <c r="C222" s="566"/>
      <c r="D222" s="566"/>
      <c r="E222" s="565" t="s">
        <v>1087</v>
      </c>
      <c r="F222" s="567" t="s">
        <v>1106</v>
      </c>
      <c r="G222" s="568">
        <v>1</v>
      </c>
      <c r="H222" s="569">
        <v>26332.02</v>
      </c>
      <c r="I222" s="569">
        <f t="shared" si="9"/>
        <v>26332.02</v>
      </c>
      <c r="J222" s="262" t="s">
        <v>65</v>
      </c>
      <c r="K222" s="566" t="s">
        <v>1168</v>
      </c>
      <c r="L222" s="566"/>
    </row>
    <row r="223" spans="1:12" s="570" customFormat="1" ht="17.399999999999999" customHeight="1" x14ac:dyDescent="0.3">
      <c r="A223" s="566"/>
      <c r="B223" s="566"/>
      <c r="C223" s="566"/>
      <c r="D223" s="566"/>
      <c r="E223" s="565" t="s">
        <v>1088</v>
      </c>
      <c r="F223" s="567" t="s">
        <v>1107</v>
      </c>
      <c r="G223" s="568">
        <v>1</v>
      </c>
      <c r="H223" s="569">
        <v>13146.21</v>
      </c>
      <c r="I223" s="569">
        <f t="shared" si="9"/>
        <v>13146.21</v>
      </c>
      <c r="J223" s="262" t="s">
        <v>65</v>
      </c>
      <c r="K223" s="566" t="s">
        <v>1168</v>
      </c>
      <c r="L223" s="566"/>
    </row>
    <row r="224" spans="1:12" s="570" customFormat="1" ht="17.399999999999999" customHeight="1" x14ac:dyDescent="0.3">
      <c r="A224" s="566"/>
      <c r="B224" s="566"/>
      <c r="C224" s="566"/>
      <c r="D224" s="566"/>
      <c r="E224" s="565" t="s">
        <v>1089</v>
      </c>
      <c r="F224" s="567" t="s">
        <v>1108</v>
      </c>
      <c r="G224" s="568">
        <v>1</v>
      </c>
      <c r="H224" s="569">
        <v>3011.58</v>
      </c>
      <c r="I224" s="569">
        <f t="shared" si="9"/>
        <v>3011.58</v>
      </c>
      <c r="J224" s="262" t="s">
        <v>65</v>
      </c>
      <c r="K224" s="566" t="s">
        <v>1168</v>
      </c>
      <c r="L224" s="566"/>
    </row>
    <row r="225" spans="1:12" s="570" customFormat="1" ht="17.399999999999999" customHeight="1" x14ac:dyDescent="0.3">
      <c r="A225" s="566"/>
      <c r="B225" s="566"/>
      <c r="C225" s="566"/>
      <c r="D225" s="566"/>
      <c r="E225" s="565" t="s">
        <v>1090</v>
      </c>
      <c r="F225" s="567" t="s">
        <v>1109</v>
      </c>
      <c r="G225" s="568">
        <v>1</v>
      </c>
      <c r="H225" s="569">
        <v>4474.8</v>
      </c>
      <c r="I225" s="569">
        <f t="shared" si="9"/>
        <v>4474.8</v>
      </c>
      <c r="J225" s="262" t="s">
        <v>65</v>
      </c>
      <c r="K225" s="566" t="s">
        <v>1168</v>
      </c>
      <c r="L225" s="566"/>
    </row>
    <row r="226" spans="1:12" s="570" customFormat="1" ht="17.399999999999999" customHeight="1" x14ac:dyDescent="0.3">
      <c r="A226" s="566"/>
      <c r="B226" s="566"/>
      <c r="C226" s="566"/>
      <c r="D226" s="566"/>
      <c r="E226" s="565" t="s">
        <v>1092</v>
      </c>
      <c r="F226" s="567" t="s">
        <v>1110</v>
      </c>
      <c r="G226" s="568">
        <v>1</v>
      </c>
      <c r="H226" s="569">
        <v>5291.55</v>
      </c>
      <c r="I226" s="569">
        <f t="shared" si="9"/>
        <v>5291.55</v>
      </c>
      <c r="J226" s="262" t="s">
        <v>65</v>
      </c>
      <c r="K226" s="566" t="s">
        <v>1168</v>
      </c>
      <c r="L226" s="566"/>
    </row>
    <row r="227" spans="1:12" s="570" customFormat="1" ht="17.399999999999999" customHeight="1" x14ac:dyDescent="0.3">
      <c r="A227" s="566"/>
      <c r="B227" s="566"/>
      <c r="C227" s="566"/>
      <c r="D227" s="566"/>
      <c r="E227" s="565" t="s">
        <v>1091</v>
      </c>
      <c r="F227" s="567" t="s">
        <v>1111</v>
      </c>
      <c r="G227" s="568">
        <v>2</v>
      </c>
      <c r="H227" s="569">
        <v>93754.98</v>
      </c>
      <c r="I227" s="569">
        <f t="shared" si="9"/>
        <v>187509.96</v>
      </c>
      <c r="J227" s="262" t="s">
        <v>65</v>
      </c>
      <c r="K227" s="566" t="s">
        <v>1168</v>
      </c>
      <c r="L227" s="566"/>
    </row>
    <row r="228" spans="1:12" s="570" customFormat="1" ht="17.399999999999999" customHeight="1" x14ac:dyDescent="0.3">
      <c r="A228" s="566"/>
      <c r="B228" s="566"/>
      <c r="C228" s="566"/>
      <c r="D228" s="566"/>
      <c r="E228" s="565" t="s">
        <v>1093</v>
      </c>
      <c r="F228" s="567" t="s">
        <v>1112</v>
      </c>
      <c r="G228" s="568">
        <v>1</v>
      </c>
      <c r="H228" s="569">
        <v>192355.02</v>
      </c>
      <c r="I228" s="569">
        <f t="shared" si="9"/>
        <v>192355.02</v>
      </c>
      <c r="J228" s="262" t="s">
        <v>65</v>
      </c>
      <c r="K228" s="566" t="s">
        <v>1168</v>
      </c>
      <c r="L228" s="566"/>
    </row>
    <row r="229" spans="1:12" s="570" customFormat="1" ht="17.399999999999999" customHeight="1" x14ac:dyDescent="0.3">
      <c r="A229" s="565">
        <v>72</v>
      </c>
      <c r="B229" s="566" t="s">
        <v>1173</v>
      </c>
      <c r="C229" s="566" t="s">
        <v>165</v>
      </c>
      <c r="D229" s="632">
        <v>0.71349537037037036</v>
      </c>
      <c r="E229" s="565" t="s">
        <v>1174</v>
      </c>
      <c r="F229" s="567" t="s">
        <v>1191</v>
      </c>
      <c r="G229" s="568">
        <v>1</v>
      </c>
      <c r="H229" s="569">
        <v>57822</v>
      </c>
      <c r="I229" s="569">
        <f t="shared" si="8"/>
        <v>57822</v>
      </c>
      <c r="J229" s="262" t="s">
        <v>127</v>
      </c>
      <c r="K229" s="262" t="s">
        <v>1167</v>
      </c>
      <c r="L229" s="566"/>
    </row>
    <row r="230" spans="1:12" s="570" customFormat="1" ht="17.399999999999999" customHeight="1" x14ac:dyDescent="0.3">
      <c r="A230" s="565"/>
      <c r="B230" s="566"/>
      <c r="C230" s="566"/>
      <c r="D230" s="632">
        <v>0.71349537037037036</v>
      </c>
      <c r="E230" s="565" t="s">
        <v>1175</v>
      </c>
      <c r="F230" s="567" t="s">
        <v>1190</v>
      </c>
      <c r="G230" s="568">
        <v>1</v>
      </c>
      <c r="H230" s="569">
        <v>13717</v>
      </c>
      <c r="I230" s="569">
        <f t="shared" si="8"/>
        <v>13717</v>
      </c>
      <c r="J230" s="262" t="s">
        <v>127</v>
      </c>
      <c r="K230" s="262" t="s">
        <v>1167</v>
      </c>
      <c r="L230" s="566"/>
    </row>
    <row r="231" spans="1:12" s="570" customFormat="1" ht="17.399999999999999" customHeight="1" x14ac:dyDescent="0.3">
      <c r="A231" s="565"/>
      <c r="B231" s="566"/>
      <c r="C231" s="566"/>
      <c r="D231" s="632">
        <v>0.71349537037037036</v>
      </c>
      <c r="E231" s="565" t="s">
        <v>1176</v>
      </c>
      <c r="F231" s="567" t="s">
        <v>1189</v>
      </c>
      <c r="G231" s="568">
        <v>1</v>
      </c>
      <c r="H231" s="569">
        <v>5340</v>
      </c>
      <c r="I231" s="569">
        <f t="shared" si="8"/>
        <v>5340</v>
      </c>
      <c r="J231" s="262" t="s">
        <v>127</v>
      </c>
      <c r="K231" s="262" t="s">
        <v>1167</v>
      </c>
      <c r="L231" s="566"/>
    </row>
    <row r="232" spans="1:12" s="570" customFormat="1" ht="17.399999999999999" customHeight="1" x14ac:dyDescent="0.3">
      <c r="A232" s="565"/>
      <c r="B232" s="566"/>
      <c r="C232" s="566"/>
      <c r="D232" s="632">
        <v>0.71349537037037036</v>
      </c>
      <c r="E232" s="565" t="s">
        <v>1177</v>
      </c>
      <c r="F232" s="567" t="s">
        <v>1188</v>
      </c>
      <c r="G232" s="568">
        <v>1</v>
      </c>
      <c r="H232" s="569">
        <v>5340</v>
      </c>
      <c r="I232" s="569">
        <f t="shared" si="8"/>
        <v>5340</v>
      </c>
      <c r="J232" s="262" t="s">
        <v>127</v>
      </c>
      <c r="K232" s="262" t="s">
        <v>1167</v>
      </c>
      <c r="L232" s="566"/>
    </row>
    <row r="233" spans="1:12" s="570" customFormat="1" ht="17.399999999999999" customHeight="1" x14ac:dyDescent="0.3">
      <c r="A233" s="565"/>
      <c r="B233" s="566"/>
      <c r="C233" s="566"/>
      <c r="D233" s="632">
        <v>0.71349537037037036</v>
      </c>
      <c r="E233" s="565" t="s">
        <v>1178</v>
      </c>
      <c r="F233" s="567" t="s">
        <v>1187</v>
      </c>
      <c r="G233" s="568">
        <v>1</v>
      </c>
      <c r="H233" s="569">
        <v>4323</v>
      </c>
      <c r="I233" s="569">
        <f t="shared" si="8"/>
        <v>4323</v>
      </c>
      <c r="J233" s="262" t="s">
        <v>127</v>
      </c>
      <c r="K233" s="262" t="s">
        <v>1167</v>
      </c>
      <c r="L233" s="566"/>
    </row>
    <row r="234" spans="1:12" s="570" customFormat="1" ht="17.399999999999999" customHeight="1" x14ac:dyDescent="0.3">
      <c r="A234" s="565"/>
      <c r="B234" s="566"/>
      <c r="C234" s="566"/>
      <c r="D234" s="632">
        <v>0.71349537037037036</v>
      </c>
      <c r="E234" s="565" t="s">
        <v>1179</v>
      </c>
      <c r="F234" s="567" t="s">
        <v>1195</v>
      </c>
      <c r="G234" s="568">
        <v>1</v>
      </c>
      <c r="H234" s="569">
        <v>8029</v>
      </c>
      <c r="I234" s="569">
        <f t="shared" si="8"/>
        <v>8029</v>
      </c>
      <c r="J234" s="262" t="s">
        <v>127</v>
      </c>
      <c r="K234" s="262" t="s">
        <v>1167</v>
      </c>
      <c r="L234" s="566"/>
    </row>
    <row r="235" spans="1:12" s="570" customFormat="1" ht="17.399999999999999" customHeight="1" x14ac:dyDescent="0.3">
      <c r="A235" s="565"/>
      <c r="B235" s="566"/>
      <c r="C235" s="566"/>
      <c r="D235" s="632">
        <v>0.71349537037037036</v>
      </c>
      <c r="E235" s="565" t="s">
        <v>1180</v>
      </c>
      <c r="F235" s="567" t="s">
        <v>1194</v>
      </c>
      <c r="G235" s="568">
        <v>1</v>
      </c>
      <c r="H235" s="569">
        <v>7789</v>
      </c>
      <c r="I235" s="569">
        <f t="shared" si="8"/>
        <v>7789</v>
      </c>
      <c r="J235" s="262" t="s">
        <v>127</v>
      </c>
      <c r="K235" s="262" t="s">
        <v>1167</v>
      </c>
      <c r="L235" s="566"/>
    </row>
    <row r="236" spans="1:12" s="570" customFormat="1" ht="17.399999999999999" customHeight="1" x14ac:dyDescent="0.3">
      <c r="A236" s="565"/>
      <c r="B236" s="566"/>
      <c r="C236" s="566"/>
      <c r="D236" s="632">
        <v>0.71349537037037036</v>
      </c>
      <c r="E236" s="565" t="s">
        <v>1181</v>
      </c>
      <c r="F236" s="567" t="s">
        <v>528</v>
      </c>
      <c r="G236" s="568">
        <v>1</v>
      </c>
      <c r="H236" s="569">
        <v>7789</v>
      </c>
      <c r="I236" s="569">
        <f>G236*H236</f>
        <v>7789</v>
      </c>
      <c r="J236" s="262" t="s">
        <v>127</v>
      </c>
      <c r="K236" s="262" t="s">
        <v>1167</v>
      </c>
      <c r="L236" s="566"/>
    </row>
    <row r="237" spans="1:12" s="570" customFormat="1" ht="17.399999999999999" customHeight="1" x14ac:dyDescent="0.3">
      <c r="A237" s="565"/>
      <c r="B237" s="566"/>
      <c r="C237" s="566"/>
      <c r="D237" s="632">
        <v>0.71349537037037036</v>
      </c>
      <c r="E237" s="565" t="s">
        <v>1182</v>
      </c>
      <c r="F237" s="567" t="s">
        <v>1193</v>
      </c>
      <c r="G237" s="568">
        <v>1</v>
      </c>
      <c r="H237" s="569">
        <v>81640</v>
      </c>
      <c r="I237" s="569">
        <f>G237*H237</f>
        <v>81640</v>
      </c>
      <c r="J237" s="262" t="s">
        <v>127</v>
      </c>
      <c r="K237" s="262" t="s">
        <v>1167</v>
      </c>
      <c r="L237" s="566"/>
    </row>
    <row r="238" spans="1:12" s="570" customFormat="1" ht="17.399999999999999" customHeight="1" x14ac:dyDescent="0.3">
      <c r="A238" s="565"/>
      <c r="B238" s="566"/>
      <c r="C238" s="566"/>
      <c r="D238" s="632">
        <v>0.71349537037037036</v>
      </c>
      <c r="E238" s="565" t="s">
        <v>1183</v>
      </c>
      <c r="F238" s="567" t="s">
        <v>1192</v>
      </c>
      <c r="G238" s="568">
        <v>1</v>
      </c>
      <c r="H238" s="569">
        <v>100365</v>
      </c>
      <c r="I238" s="569">
        <f>G238*H238</f>
        <v>100365</v>
      </c>
      <c r="J238" s="262" t="s">
        <v>127</v>
      </c>
      <c r="K238" s="262" t="s">
        <v>1167</v>
      </c>
      <c r="L238" s="566"/>
    </row>
    <row r="239" spans="1:12" s="570" customFormat="1" ht="17.399999999999999" customHeight="1" x14ac:dyDescent="0.3">
      <c r="A239" s="565">
        <v>73</v>
      </c>
      <c r="B239" s="566" t="s">
        <v>1185</v>
      </c>
      <c r="C239" s="632">
        <v>8.6412037037037037E-2</v>
      </c>
      <c r="D239" s="633">
        <v>1.2975231481481482</v>
      </c>
      <c r="E239" s="565" t="s">
        <v>1184</v>
      </c>
      <c r="F239" s="567" t="s">
        <v>1186</v>
      </c>
      <c r="G239" s="568">
        <v>25</v>
      </c>
      <c r="H239" s="569">
        <v>8397</v>
      </c>
      <c r="I239" s="569">
        <f t="shared" si="8"/>
        <v>209925</v>
      </c>
      <c r="J239" s="262" t="s">
        <v>493</v>
      </c>
      <c r="K239" s="262" t="s">
        <v>1167</v>
      </c>
      <c r="L239" s="566"/>
    </row>
    <row r="240" spans="1:12" s="538" customFormat="1" ht="13" x14ac:dyDescent="0.3">
      <c r="A240" s="539"/>
      <c r="B240" s="539"/>
      <c r="C240" s="539"/>
      <c r="D240" s="539"/>
      <c r="E240" s="540"/>
      <c r="F240" s="541"/>
      <c r="G240" s="542"/>
      <c r="H240" s="544" t="s">
        <v>1146</v>
      </c>
      <c r="I240" s="544">
        <f>SUM(I2:I239)</f>
        <v>46935496.770000011</v>
      </c>
      <c r="J240" s="543"/>
      <c r="K240" s="543"/>
      <c r="L240" s="543"/>
    </row>
    <row r="241" spans="1:12" ht="44" customHeight="1" x14ac:dyDescent="0.3"/>
    <row r="242" spans="1:12" ht="44" customHeight="1" x14ac:dyDescent="0.3"/>
    <row r="243" spans="1:12" ht="14.5" x14ac:dyDescent="0.35">
      <c r="A243" s="780" t="s">
        <v>546</v>
      </c>
      <c r="B243" s="780"/>
      <c r="C243" s="780"/>
      <c r="D243" s="780"/>
      <c r="E243" s="780"/>
      <c r="F243" s="780"/>
      <c r="G243" s="780"/>
      <c r="H243" s="780"/>
      <c r="I243" s="780"/>
      <c r="J243" s="780"/>
      <c r="K243" s="780"/>
      <c r="L243" s="780"/>
    </row>
    <row r="244" spans="1:12" s="272" customFormat="1" ht="27" customHeight="1" x14ac:dyDescent="0.35">
      <c r="A244" s="268">
        <v>1</v>
      </c>
      <c r="B244" s="268" t="s">
        <v>281</v>
      </c>
      <c r="C244" s="269">
        <v>0.71695601851851853</v>
      </c>
      <c r="D244" s="269" t="s">
        <v>282</v>
      </c>
      <c r="E244" s="269"/>
      <c r="F244" s="293" t="s">
        <v>270</v>
      </c>
      <c r="G244" s="294">
        <v>2</v>
      </c>
      <c r="H244" s="295">
        <v>5712</v>
      </c>
      <c r="I244" s="270">
        <f t="shared" ref="I244:I251" si="10">G244*H244</f>
        <v>11424</v>
      </c>
      <c r="J244" s="268" t="s">
        <v>65</v>
      </c>
      <c r="K244" s="271" t="s">
        <v>513</v>
      </c>
      <c r="L244" s="268" t="s">
        <v>697</v>
      </c>
    </row>
    <row r="245" spans="1:12" s="463" customFormat="1" ht="27" customHeight="1" x14ac:dyDescent="0.35">
      <c r="A245" s="458"/>
      <c r="B245" s="458"/>
      <c r="C245" s="459"/>
      <c r="D245" s="459"/>
      <c r="E245" s="459"/>
      <c r="F245" s="460" t="s">
        <v>271</v>
      </c>
      <c r="G245" s="461">
        <v>5</v>
      </c>
      <c r="H245" s="488">
        <v>164052</v>
      </c>
      <c r="I245" s="462">
        <f t="shared" si="10"/>
        <v>820260</v>
      </c>
      <c r="J245" s="458" t="s">
        <v>65</v>
      </c>
      <c r="K245" s="631"/>
      <c r="L245" s="458"/>
    </row>
    <row r="246" spans="1:12" s="272" customFormat="1" ht="27" customHeight="1" x14ac:dyDescent="0.35">
      <c r="A246" s="268"/>
      <c r="B246" s="268"/>
      <c r="C246" s="269"/>
      <c r="D246" s="269"/>
      <c r="E246" s="269"/>
      <c r="F246" s="293" t="s">
        <v>272</v>
      </c>
      <c r="G246" s="294">
        <v>7</v>
      </c>
      <c r="H246" s="295">
        <v>11235</v>
      </c>
      <c r="I246" s="270">
        <f t="shared" si="10"/>
        <v>78645</v>
      </c>
      <c r="J246" s="268" t="s">
        <v>65</v>
      </c>
      <c r="K246" s="271" t="s">
        <v>513</v>
      </c>
      <c r="L246" s="268" t="s">
        <v>697</v>
      </c>
    </row>
    <row r="247" spans="1:12" s="272" customFormat="1" ht="27" customHeight="1" x14ac:dyDescent="0.35">
      <c r="A247" s="268"/>
      <c r="B247" s="268"/>
      <c r="C247" s="269"/>
      <c r="D247" s="269"/>
      <c r="E247" s="269"/>
      <c r="F247" s="293" t="s">
        <v>273</v>
      </c>
      <c r="G247" s="294">
        <v>9</v>
      </c>
      <c r="H247" s="295">
        <v>5271</v>
      </c>
      <c r="I247" s="270">
        <f t="shared" si="10"/>
        <v>47439</v>
      </c>
      <c r="J247" s="268" t="s">
        <v>65</v>
      </c>
      <c r="K247" s="271" t="s">
        <v>513</v>
      </c>
      <c r="L247" s="268" t="s">
        <v>697</v>
      </c>
    </row>
    <row r="248" spans="1:12" s="272" customFormat="1" ht="27" customHeight="1" x14ac:dyDescent="0.35">
      <c r="A248" s="268"/>
      <c r="B248" s="268"/>
      <c r="C248" s="269"/>
      <c r="D248" s="269"/>
      <c r="E248" s="269"/>
      <c r="F248" s="293" t="s">
        <v>274</v>
      </c>
      <c r="G248" s="294">
        <v>22</v>
      </c>
      <c r="H248" s="295">
        <v>4788</v>
      </c>
      <c r="I248" s="270">
        <f t="shared" si="10"/>
        <v>105336</v>
      </c>
      <c r="J248" s="268" t="s">
        <v>65</v>
      </c>
      <c r="K248" s="271"/>
      <c r="L248" s="268"/>
    </row>
    <row r="249" spans="1:12" s="272" customFormat="1" ht="27" customHeight="1" x14ac:dyDescent="0.35">
      <c r="A249" s="268"/>
      <c r="B249" s="268"/>
      <c r="C249" s="269"/>
      <c r="D249" s="269"/>
      <c r="E249" s="269"/>
      <c r="F249" s="293" t="s">
        <v>275</v>
      </c>
      <c r="G249" s="294">
        <v>7</v>
      </c>
      <c r="H249" s="295">
        <v>7235</v>
      </c>
      <c r="I249" s="270">
        <f t="shared" si="10"/>
        <v>50645</v>
      </c>
      <c r="J249" s="268" t="s">
        <v>65</v>
      </c>
      <c r="K249" s="271" t="s">
        <v>513</v>
      </c>
      <c r="L249" s="268" t="s">
        <v>697</v>
      </c>
    </row>
    <row r="250" spans="1:12" s="272" customFormat="1" ht="27" customHeight="1" x14ac:dyDescent="0.35">
      <c r="A250" s="268"/>
      <c r="B250" s="268"/>
      <c r="C250" s="269"/>
      <c r="D250" s="269"/>
      <c r="E250" s="269"/>
      <c r="F250" s="293" t="s">
        <v>276</v>
      </c>
      <c r="G250" s="294">
        <v>3</v>
      </c>
      <c r="H250" s="295">
        <v>10710</v>
      </c>
      <c r="I250" s="270">
        <f t="shared" si="10"/>
        <v>32130</v>
      </c>
      <c r="J250" s="268" t="s">
        <v>65</v>
      </c>
      <c r="K250" s="271" t="s">
        <v>513</v>
      </c>
      <c r="L250" s="268" t="s">
        <v>697</v>
      </c>
    </row>
    <row r="251" spans="1:12" s="267" customFormat="1" ht="27" customHeight="1" x14ac:dyDescent="0.35">
      <c r="A251" s="262"/>
      <c r="B251" s="262"/>
      <c r="C251" s="263"/>
      <c r="D251" s="263"/>
      <c r="E251" s="263"/>
      <c r="F251" s="278" t="s">
        <v>271</v>
      </c>
      <c r="G251" s="279">
        <v>5</v>
      </c>
      <c r="H251" s="280">
        <v>164052</v>
      </c>
      <c r="I251" s="265">
        <f t="shared" si="10"/>
        <v>820260</v>
      </c>
      <c r="J251" s="262" t="s">
        <v>65</v>
      </c>
      <c r="K251" s="266"/>
      <c r="L251" s="262"/>
    </row>
    <row r="252" spans="1:12" s="267" customFormat="1" ht="27" customHeight="1" x14ac:dyDescent="0.35">
      <c r="A252" s="262"/>
      <c r="B252" s="262"/>
      <c r="C252" s="263"/>
      <c r="D252" s="263"/>
      <c r="E252" s="263"/>
      <c r="F252" s="278"/>
      <c r="G252" s="781"/>
      <c r="H252" s="782"/>
      <c r="I252" s="783"/>
      <c r="J252" s="262"/>
      <c r="K252" s="266"/>
      <c r="L252" s="262"/>
    </row>
    <row r="253" spans="1:12" s="272" customFormat="1" ht="27" customHeight="1" x14ac:dyDescent="0.35">
      <c r="A253" s="268">
        <v>2</v>
      </c>
      <c r="B253" s="268" t="s">
        <v>279</v>
      </c>
      <c r="C253" s="269">
        <v>0.75862268518518527</v>
      </c>
      <c r="D253" s="269" t="s">
        <v>280</v>
      </c>
      <c r="E253" s="269"/>
      <c r="F253" s="293" t="s">
        <v>265</v>
      </c>
      <c r="G253" s="294">
        <v>2</v>
      </c>
      <c r="H253" s="295">
        <v>1071307</v>
      </c>
      <c r="I253" s="270">
        <f>G253*H253</f>
        <v>2142614</v>
      </c>
      <c r="J253" s="268" t="s">
        <v>65</v>
      </c>
      <c r="K253" s="271" t="s">
        <v>513</v>
      </c>
      <c r="L253" s="268" t="s">
        <v>696</v>
      </c>
    </row>
    <row r="254" spans="1:12" s="272" customFormat="1" ht="27" customHeight="1" x14ac:dyDescent="0.35">
      <c r="A254" s="268"/>
      <c r="B254" s="268"/>
      <c r="C254" s="269"/>
      <c r="D254" s="269"/>
      <c r="E254" s="269"/>
      <c r="F254" s="293" t="s">
        <v>266</v>
      </c>
      <c r="G254" s="294">
        <v>4</v>
      </c>
      <c r="H254" s="295">
        <v>13237.48</v>
      </c>
      <c r="I254" s="270">
        <f>G254*H254</f>
        <v>52949.919999999998</v>
      </c>
      <c r="J254" s="268" t="s">
        <v>65</v>
      </c>
      <c r="K254" s="271" t="s">
        <v>513</v>
      </c>
      <c r="L254" s="268" t="s">
        <v>697</v>
      </c>
    </row>
    <row r="255" spans="1:12" s="272" customFormat="1" ht="27" customHeight="1" x14ac:dyDescent="0.35">
      <c r="A255" s="268"/>
      <c r="B255" s="268"/>
      <c r="C255" s="269"/>
      <c r="D255" s="269"/>
      <c r="E255" s="269"/>
      <c r="F255" s="293" t="s">
        <v>267</v>
      </c>
      <c r="G255" s="294">
        <v>4</v>
      </c>
      <c r="H255" s="295">
        <v>50586.8</v>
      </c>
      <c r="I255" s="270">
        <f>G255*H255</f>
        <v>202347.2</v>
      </c>
      <c r="J255" s="268" t="s">
        <v>65</v>
      </c>
      <c r="K255" s="271"/>
      <c r="L255" s="268" t="s">
        <v>698</v>
      </c>
    </row>
    <row r="256" spans="1:12" s="267" customFormat="1" ht="27" customHeight="1" x14ac:dyDescent="0.35">
      <c r="A256" s="262"/>
      <c r="B256" s="262"/>
      <c r="C256" s="263"/>
      <c r="D256" s="263"/>
      <c r="E256" s="263"/>
      <c r="F256" s="278" t="s">
        <v>268</v>
      </c>
      <c r="G256" s="279">
        <f>5-2</f>
        <v>3</v>
      </c>
      <c r="H256" s="284">
        <v>301358.64</v>
      </c>
      <c r="I256" s="265">
        <f>G256*H256</f>
        <v>904075.92</v>
      </c>
      <c r="J256" s="262" t="s">
        <v>65</v>
      </c>
      <c r="K256" s="266"/>
      <c r="L256" s="262"/>
    </row>
    <row r="257" spans="1:12" s="272" customFormat="1" ht="27" customHeight="1" x14ac:dyDescent="0.35">
      <c r="A257" s="268"/>
      <c r="B257" s="268"/>
      <c r="C257" s="269"/>
      <c r="D257" s="269"/>
      <c r="E257" s="269"/>
      <c r="F257" s="293" t="s">
        <v>269</v>
      </c>
      <c r="G257" s="294">
        <v>6</v>
      </c>
      <c r="H257" s="295">
        <v>7198.83</v>
      </c>
      <c r="I257" s="270">
        <f>G257*H257</f>
        <v>43192.979999999996</v>
      </c>
      <c r="J257" s="268" t="s">
        <v>65</v>
      </c>
      <c r="K257" s="271" t="s">
        <v>513</v>
      </c>
      <c r="L257" s="268" t="s">
        <v>697</v>
      </c>
    </row>
    <row r="258" spans="1:12" x14ac:dyDescent="0.3">
      <c r="G258" s="784"/>
      <c r="H258" s="784"/>
      <c r="I258" s="784"/>
    </row>
    <row r="259" spans="1:12" s="267" customFormat="1" ht="50" customHeight="1" x14ac:dyDescent="0.35">
      <c r="A259" s="262">
        <v>3</v>
      </c>
      <c r="B259" s="262" t="s">
        <v>919</v>
      </c>
      <c r="C259" s="263">
        <v>0.62738425925925922</v>
      </c>
      <c r="D259" s="263" t="s">
        <v>920</v>
      </c>
      <c r="E259" s="263"/>
      <c r="F259" s="278" t="s">
        <v>1005</v>
      </c>
      <c r="G259" s="279"/>
      <c r="H259" s="284">
        <v>7951</v>
      </c>
      <c r="I259" s="265">
        <v>5000000</v>
      </c>
      <c r="J259" s="262" t="s">
        <v>921</v>
      </c>
      <c r="K259" s="262" t="s">
        <v>1006</v>
      </c>
      <c r="L259" s="262"/>
    </row>
  </sheetData>
  <autoFilter ref="A1:L118" xr:uid="{00000000-0009-0000-0000-000003000000}"/>
  <mergeCells count="3">
    <mergeCell ref="A243:L243"/>
    <mergeCell ref="G252:I252"/>
    <mergeCell ref="G258:I258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X240"/>
  <sheetViews>
    <sheetView workbookViewId="0">
      <selection activeCell="E2" sqref="E2"/>
    </sheetView>
  </sheetViews>
  <sheetFormatPr defaultRowHeight="14.5" x14ac:dyDescent="0.35"/>
  <cols>
    <col min="2" max="2" width="8.54296875" customWidth="1"/>
    <col min="3" max="3" width="16.08984375" customWidth="1"/>
    <col min="4" max="4" width="12.36328125" customWidth="1"/>
    <col min="5" max="5" width="40.08984375" bestFit="1" customWidth="1"/>
    <col min="6" max="6" width="8.36328125" customWidth="1"/>
    <col min="7" max="7" width="24.90625" customWidth="1"/>
    <col min="10" max="10" width="20" style="447" bestFit="1" customWidth="1"/>
    <col min="11" max="12" width="11" style="447" customWidth="1"/>
    <col min="13" max="13" width="11" customWidth="1"/>
    <col min="14" max="14" width="12.453125" customWidth="1"/>
  </cols>
  <sheetData>
    <row r="2" spans="2:24" s="200" customFormat="1" ht="18" customHeight="1" x14ac:dyDescent="0.35">
      <c r="B2" s="428" t="s">
        <v>40</v>
      </c>
      <c r="C2" s="429" t="s">
        <v>358</v>
      </c>
      <c r="D2" s="429" t="s">
        <v>359</v>
      </c>
      <c r="E2" s="429" t="s">
        <v>44</v>
      </c>
      <c r="F2" s="429" t="s">
        <v>48</v>
      </c>
      <c r="G2" s="430" t="s">
        <v>45</v>
      </c>
      <c r="J2" s="444"/>
      <c r="K2" s="444"/>
      <c r="L2" s="445">
        <v>302611692</v>
      </c>
      <c r="M2" s="440">
        <v>20260227</v>
      </c>
      <c r="N2" s="440" t="s">
        <v>720</v>
      </c>
      <c r="O2" s="440">
        <v>20260227</v>
      </c>
      <c r="P2" s="440">
        <v>60</v>
      </c>
      <c r="Q2" s="440" t="s">
        <v>721</v>
      </c>
      <c r="R2" s="440">
        <v>40</v>
      </c>
      <c r="S2" s="440">
        <v>40</v>
      </c>
      <c r="T2" s="440">
        <v>189448.7</v>
      </c>
      <c r="U2" s="440">
        <v>20260316</v>
      </c>
      <c r="V2" s="440">
        <v>0</v>
      </c>
      <c r="W2" s="440"/>
      <c r="X2" s="441"/>
    </row>
    <row r="3" spans="2:24" s="503" customFormat="1" ht="18" customHeight="1" x14ac:dyDescent="0.35">
      <c r="B3" s="443" t="s">
        <v>76</v>
      </c>
      <c r="C3" s="256">
        <v>302609981</v>
      </c>
      <c r="D3" s="509">
        <v>0.3759953703703704</v>
      </c>
      <c r="E3" s="437" t="s">
        <v>497</v>
      </c>
      <c r="F3" s="510">
        <v>10</v>
      </c>
      <c r="G3" s="431" t="s">
        <v>713</v>
      </c>
      <c r="J3" s="504"/>
      <c r="K3" s="504"/>
      <c r="L3" s="505">
        <v>40</v>
      </c>
      <c r="M3" s="506">
        <v>302611692</v>
      </c>
      <c r="N3" s="506">
        <v>20260227</v>
      </c>
      <c r="O3" s="506" t="s">
        <v>720</v>
      </c>
      <c r="P3" s="506">
        <v>20260227</v>
      </c>
      <c r="Q3" s="506">
        <v>50</v>
      </c>
      <c r="R3" s="506" t="s">
        <v>722</v>
      </c>
      <c r="S3" s="506">
        <v>15</v>
      </c>
      <c r="T3" s="506">
        <v>15</v>
      </c>
      <c r="U3" s="506">
        <v>71043.259999999995</v>
      </c>
      <c r="V3" s="506">
        <v>20260316</v>
      </c>
      <c r="W3" s="506">
        <v>0</v>
      </c>
      <c r="X3" s="506"/>
    </row>
    <row r="4" spans="2:24" s="503" customFormat="1" ht="18" customHeight="1" x14ac:dyDescent="0.35">
      <c r="B4" s="443" t="s">
        <v>77</v>
      </c>
      <c r="C4" s="256">
        <v>332650650</v>
      </c>
      <c r="D4" s="511">
        <v>0.50792824074074072</v>
      </c>
      <c r="E4" s="437" t="s">
        <v>136</v>
      </c>
      <c r="F4" s="424">
        <v>1</v>
      </c>
      <c r="G4" s="431" t="s">
        <v>713</v>
      </c>
      <c r="J4" s="504"/>
      <c r="K4" s="504"/>
      <c r="L4" s="505">
        <v>41</v>
      </c>
      <c r="M4" s="506">
        <v>302611692</v>
      </c>
      <c r="N4" s="506">
        <v>20260227</v>
      </c>
      <c r="O4" s="506" t="s">
        <v>720</v>
      </c>
      <c r="P4" s="506">
        <v>20260227</v>
      </c>
      <c r="Q4" s="506">
        <v>20</v>
      </c>
      <c r="R4" s="506" t="s">
        <v>723</v>
      </c>
      <c r="S4" s="506">
        <v>10</v>
      </c>
      <c r="T4" s="506">
        <v>7</v>
      </c>
      <c r="U4" s="506">
        <v>26511.27</v>
      </c>
      <c r="V4" s="506">
        <v>20260316</v>
      </c>
      <c r="W4" s="506">
        <v>3</v>
      </c>
      <c r="X4" s="506"/>
    </row>
    <row r="5" spans="2:24" s="141" customFormat="1" ht="18" customHeight="1" x14ac:dyDescent="0.35">
      <c r="B5" s="443" t="s">
        <v>78</v>
      </c>
      <c r="C5" s="256">
        <v>302607578</v>
      </c>
      <c r="D5" s="425">
        <v>0.29959490740740741</v>
      </c>
      <c r="E5" s="437" t="s">
        <v>155</v>
      </c>
      <c r="F5" s="424">
        <v>2</v>
      </c>
      <c r="G5" s="431" t="s">
        <v>713</v>
      </c>
      <c r="J5" s="446"/>
      <c r="K5" s="446"/>
      <c r="L5" s="445">
        <v>42</v>
      </c>
      <c r="M5" s="440">
        <v>302611692</v>
      </c>
      <c r="N5" s="440">
        <v>20260227</v>
      </c>
      <c r="O5" s="440" t="s">
        <v>720</v>
      </c>
      <c r="P5" s="440">
        <v>20260227</v>
      </c>
      <c r="Q5" s="440">
        <v>30</v>
      </c>
      <c r="R5" s="440" t="s">
        <v>724</v>
      </c>
      <c r="S5" s="440">
        <v>20</v>
      </c>
      <c r="T5" s="440">
        <v>20</v>
      </c>
      <c r="U5" s="440">
        <v>101820.43</v>
      </c>
      <c r="V5" s="440">
        <v>20260316</v>
      </c>
      <c r="W5" s="440">
        <v>0</v>
      </c>
      <c r="X5" s="440"/>
    </row>
    <row r="6" spans="2:24" s="141" customFormat="1" ht="18" customHeight="1" x14ac:dyDescent="0.35">
      <c r="B6" s="443" t="s">
        <v>79</v>
      </c>
      <c r="C6" s="256">
        <v>302610741</v>
      </c>
      <c r="D6" s="425">
        <v>8.5023148148148153E-2</v>
      </c>
      <c r="E6" s="437" t="s">
        <v>718</v>
      </c>
      <c r="F6" s="424">
        <v>6</v>
      </c>
      <c r="G6" s="432" t="s">
        <v>713</v>
      </c>
      <c r="J6" s="446"/>
      <c r="K6" s="446"/>
      <c r="L6" s="445">
        <v>43</v>
      </c>
      <c r="M6" s="440">
        <v>302611692</v>
      </c>
      <c r="N6" s="440">
        <v>20260227</v>
      </c>
      <c r="O6" s="440" t="s">
        <v>720</v>
      </c>
      <c r="P6" s="440">
        <v>20260227</v>
      </c>
      <c r="Q6" s="440">
        <v>10</v>
      </c>
      <c r="R6" s="440" t="s">
        <v>725</v>
      </c>
      <c r="S6" s="440">
        <v>10</v>
      </c>
      <c r="T6" s="440">
        <v>5</v>
      </c>
      <c r="U6" s="440">
        <v>19596.72</v>
      </c>
      <c r="V6" s="440">
        <v>20260316</v>
      </c>
      <c r="W6" s="440">
        <v>5</v>
      </c>
      <c r="X6" s="442"/>
    </row>
    <row r="7" spans="2:24" s="503" customFormat="1" ht="18" customHeight="1" x14ac:dyDescent="0.35">
      <c r="B7" s="443" t="s">
        <v>974</v>
      </c>
      <c r="C7" s="256">
        <v>302610741</v>
      </c>
      <c r="D7" s="425">
        <v>8.5023148148148153E-2</v>
      </c>
      <c r="E7" s="437" t="s">
        <v>719</v>
      </c>
      <c r="F7" s="424">
        <v>6</v>
      </c>
      <c r="G7" s="432" t="s">
        <v>713</v>
      </c>
      <c r="J7" s="504"/>
      <c r="K7" s="504"/>
      <c r="L7" s="504"/>
    </row>
    <row r="8" spans="2:24" s="503" customFormat="1" ht="18" customHeight="1" x14ac:dyDescent="0.35">
      <c r="B8" s="443" t="s">
        <v>975</v>
      </c>
      <c r="C8" s="256">
        <v>302610741</v>
      </c>
      <c r="D8" s="425">
        <v>8.5023148148148153E-2</v>
      </c>
      <c r="E8" s="437" t="s">
        <v>497</v>
      </c>
      <c r="F8" s="424">
        <v>20</v>
      </c>
      <c r="G8" s="432" t="s">
        <v>713</v>
      </c>
      <c r="J8" s="507" t="s">
        <v>394</v>
      </c>
      <c r="K8" s="504"/>
      <c r="L8" s="504"/>
    </row>
    <row r="9" spans="2:24" s="503" customFormat="1" ht="18" customHeight="1" x14ac:dyDescent="0.35">
      <c r="B9" s="443" t="s">
        <v>976</v>
      </c>
      <c r="C9" s="256">
        <v>302611692</v>
      </c>
      <c r="D9" s="425" t="s">
        <v>726</v>
      </c>
      <c r="E9" s="437" t="s">
        <v>722</v>
      </c>
      <c r="F9" s="424">
        <v>15</v>
      </c>
      <c r="G9" s="432" t="s">
        <v>713</v>
      </c>
      <c r="J9" s="508" t="s">
        <v>394</v>
      </c>
      <c r="K9" s="504"/>
      <c r="L9" s="504"/>
    </row>
    <row r="10" spans="2:24" s="141" customFormat="1" ht="18" customHeight="1" x14ac:dyDescent="0.35">
      <c r="B10" s="443" t="s">
        <v>499</v>
      </c>
      <c r="C10" s="256">
        <v>302611692</v>
      </c>
      <c r="D10" s="425" t="s">
        <v>726</v>
      </c>
      <c r="E10" s="437" t="s">
        <v>723</v>
      </c>
      <c r="F10" s="424">
        <v>7</v>
      </c>
      <c r="G10" s="432" t="s">
        <v>713</v>
      </c>
      <c r="J10" s="446"/>
      <c r="K10" s="446"/>
      <c r="L10" s="446"/>
    </row>
    <row r="11" spans="2:24" s="141" customFormat="1" ht="18" customHeight="1" x14ac:dyDescent="0.35">
      <c r="B11" s="443" t="s">
        <v>498</v>
      </c>
      <c r="C11" s="256">
        <v>302611692</v>
      </c>
      <c r="D11" s="425" t="s">
        <v>726</v>
      </c>
      <c r="E11" s="437" t="s">
        <v>724</v>
      </c>
      <c r="F11" s="424">
        <v>20</v>
      </c>
      <c r="G11" s="432" t="s">
        <v>713</v>
      </c>
      <c r="J11" s="446"/>
      <c r="K11" s="446"/>
      <c r="L11" s="446"/>
    </row>
    <row r="12" spans="2:24" s="141" customFormat="1" ht="18" customHeight="1" x14ac:dyDescent="0.35">
      <c r="B12" s="443" t="s">
        <v>500</v>
      </c>
      <c r="C12" s="256">
        <v>302611692</v>
      </c>
      <c r="D12" s="425" t="s">
        <v>726</v>
      </c>
      <c r="E12" s="437" t="s">
        <v>725</v>
      </c>
      <c r="F12" s="424">
        <v>5</v>
      </c>
      <c r="G12" s="432" t="s">
        <v>713</v>
      </c>
      <c r="J12" s="446"/>
      <c r="K12" s="446"/>
      <c r="L12" s="446"/>
    </row>
    <row r="13" spans="2:24" s="141" customFormat="1" ht="18" customHeight="1" x14ac:dyDescent="0.35">
      <c r="B13" s="443" t="s">
        <v>977</v>
      </c>
      <c r="C13" s="256">
        <v>302611693</v>
      </c>
      <c r="D13" s="425" t="s">
        <v>726</v>
      </c>
      <c r="E13" s="437" t="s">
        <v>940</v>
      </c>
      <c r="F13" s="424">
        <v>4</v>
      </c>
      <c r="G13" s="432"/>
      <c r="J13" s="446"/>
      <c r="K13" s="446"/>
      <c r="L13" s="446"/>
    </row>
    <row r="14" spans="2:24" s="503" customFormat="1" ht="18" customHeight="1" x14ac:dyDescent="0.35">
      <c r="B14" s="443" t="s">
        <v>978</v>
      </c>
      <c r="C14" s="256">
        <v>302610764</v>
      </c>
      <c r="D14" s="425">
        <v>8.5023148148148153E-2</v>
      </c>
      <c r="E14" s="437" t="s">
        <v>941</v>
      </c>
      <c r="F14" s="424">
        <v>2</v>
      </c>
      <c r="G14" s="432"/>
      <c r="J14" s="504"/>
      <c r="K14" s="504"/>
      <c r="L14" s="504"/>
    </row>
    <row r="15" spans="2:24" s="503" customFormat="1" ht="18" customHeight="1" x14ac:dyDescent="0.35">
      <c r="B15" s="512" t="s">
        <v>979</v>
      </c>
      <c r="C15" s="226">
        <v>332600531</v>
      </c>
      <c r="D15" s="426">
        <v>0.33432870370370371</v>
      </c>
      <c r="E15" s="438" t="s">
        <v>395</v>
      </c>
      <c r="F15" s="427">
        <v>5</v>
      </c>
      <c r="G15" s="433"/>
      <c r="J15" s="504"/>
      <c r="K15" s="504"/>
      <c r="L15" s="504"/>
    </row>
    <row r="16" spans="2:24" s="141" customFormat="1" ht="18" customHeight="1" x14ac:dyDescent="0.35">
      <c r="B16" s="512" t="s">
        <v>686</v>
      </c>
      <c r="C16" s="226">
        <v>332650815</v>
      </c>
      <c r="D16" s="426">
        <v>0.29266203703703703</v>
      </c>
      <c r="E16" s="438" t="s">
        <v>394</v>
      </c>
      <c r="F16" s="427">
        <v>1</v>
      </c>
      <c r="G16" s="433"/>
      <c r="J16" s="446"/>
      <c r="K16" s="446"/>
      <c r="L16" s="446"/>
    </row>
    <row r="17" spans="2:12" s="503" customFormat="1" ht="18" customHeight="1" x14ac:dyDescent="0.35">
      <c r="B17" s="512" t="s">
        <v>687</v>
      </c>
      <c r="C17" s="226">
        <v>332650815</v>
      </c>
      <c r="D17" s="426">
        <v>0.29266203703703703</v>
      </c>
      <c r="E17" s="438" t="s">
        <v>394</v>
      </c>
      <c r="F17" s="427">
        <v>1</v>
      </c>
      <c r="G17" s="433"/>
      <c r="J17" s="504"/>
      <c r="K17" s="504"/>
      <c r="L17" s="504"/>
    </row>
    <row r="18" spans="2:12" s="503" customFormat="1" ht="18" customHeight="1" x14ac:dyDescent="0.35">
      <c r="B18" s="512" t="s">
        <v>727</v>
      </c>
      <c r="C18" s="226">
        <v>302610512</v>
      </c>
      <c r="D18" s="226" t="s">
        <v>465</v>
      </c>
      <c r="E18" s="438" t="s">
        <v>714</v>
      </c>
      <c r="F18" s="427">
        <v>2</v>
      </c>
      <c r="G18" s="433"/>
      <c r="J18" s="504"/>
      <c r="K18" s="504"/>
      <c r="L18" s="504"/>
    </row>
    <row r="19" spans="2:12" s="141" customFormat="1" ht="18" customHeight="1" x14ac:dyDescent="0.35">
      <c r="B19" s="512" t="s">
        <v>728</v>
      </c>
      <c r="C19" s="226">
        <v>302610512</v>
      </c>
      <c r="D19" s="226" t="s">
        <v>465</v>
      </c>
      <c r="E19" s="438" t="s">
        <v>715</v>
      </c>
      <c r="F19" s="427">
        <v>2</v>
      </c>
      <c r="G19" s="433"/>
      <c r="J19" s="446"/>
      <c r="K19" s="446"/>
      <c r="L19" s="446"/>
    </row>
    <row r="20" spans="2:12" s="141" customFormat="1" ht="18" customHeight="1" x14ac:dyDescent="0.35">
      <c r="B20" s="512" t="s">
        <v>729</v>
      </c>
      <c r="C20" s="226">
        <v>302610512</v>
      </c>
      <c r="D20" s="226" t="s">
        <v>465</v>
      </c>
      <c r="E20" s="438" t="s">
        <v>716</v>
      </c>
      <c r="F20" s="427">
        <v>1</v>
      </c>
      <c r="G20" s="433"/>
      <c r="J20" s="446"/>
      <c r="K20" s="446"/>
      <c r="L20" s="446"/>
    </row>
    <row r="21" spans="2:12" ht="18" customHeight="1" x14ac:dyDescent="0.35">
      <c r="B21" s="512" t="s">
        <v>730</v>
      </c>
      <c r="C21" s="226">
        <v>302610512</v>
      </c>
      <c r="D21" s="226" t="s">
        <v>465</v>
      </c>
      <c r="E21" s="438" t="s">
        <v>451</v>
      </c>
      <c r="F21" s="427">
        <v>4</v>
      </c>
      <c r="G21" s="433"/>
      <c r="K21" s="446"/>
    </row>
    <row r="22" spans="2:12" ht="18" customHeight="1" x14ac:dyDescent="0.35">
      <c r="B22" s="512" t="s">
        <v>731</v>
      </c>
      <c r="C22" s="226">
        <v>302610512</v>
      </c>
      <c r="D22" s="226" t="s">
        <v>465</v>
      </c>
      <c r="E22" s="438" t="s">
        <v>717</v>
      </c>
      <c r="F22" s="427">
        <v>1</v>
      </c>
      <c r="G22" s="433"/>
    </row>
    <row r="23" spans="2:12" ht="18" customHeight="1" x14ac:dyDescent="0.35">
      <c r="B23" s="512" t="s">
        <v>732</v>
      </c>
      <c r="C23" s="434">
        <v>302610512</v>
      </c>
      <c r="D23" s="434" t="s">
        <v>465</v>
      </c>
      <c r="E23" s="439" t="s">
        <v>449</v>
      </c>
      <c r="F23" s="435">
        <v>1</v>
      </c>
      <c r="G23" s="436"/>
      <c r="J23" s="448" t="s">
        <v>394</v>
      </c>
    </row>
    <row r="24" spans="2:12" ht="18" customHeight="1" x14ac:dyDescent="0.35">
      <c r="J24" s="449" t="s">
        <v>394</v>
      </c>
    </row>
    <row r="25" spans="2:12" ht="18" customHeight="1" x14ac:dyDescent="0.35">
      <c r="B25" s="112" t="s">
        <v>40</v>
      </c>
      <c r="C25" s="112" t="s">
        <v>44</v>
      </c>
      <c r="D25" s="112" t="s">
        <v>47</v>
      </c>
      <c r="E25" s="112" t="s">
        <v>193</v>
      </c>
      <c r="F25" s="112" t="s">
        <v>48</v>
      </c>
      <c r="G25" s="113" t="s">
        <v>45</v>
      </c>
    </row>
    <row r="26" spans="2:12" ht="18" customHeight="1" x14ac:dyDescent="0.35">
      <c r="B26" s="791" t="s">
        <v>76</v>
      </c>
      <c r="C26" s="66" t="s">
        <v>87</v>
      </c>
      <c r="D26" s="797" t="s">
        <v>90</v>
      </c>
      <c r="E26" s="739" t="s">
        <v>86</v>
      </c>
      <c r="F26" s="20">
        <v>1</v>
      </c>
      <c r="G26" s="179" t="s">
        <v>194</v>
      </c>
    </row>
    <row r="27" spans="2:12" ht="18" customHeight="1" x14ac:dyDescent="0.35">
      <c r="B27" s="792"/>
      <c r="C27" s="66" t="s">
        <v>88</v>
      </c>
      <c r="D27" s="797"/>
      <c r="E27" s="739"/>
      <c r="F27" s="20">
        <v>1</v>
      </c>
      <c r="G27" s="181" t="s">
        <v>195</v>
      </c>
      <c r="J27" s="449" t="s">
        <v>394</v>
      </c>
    </row>
    <row r="28" spans="2:12" ht="18" customHeight="1" x14ac:dyDescent="0.35">
      <c r="B28" s="793"/>
      <c r="C28" s="66" t="s">
        <v>89</v>
      </c>
      <c r="D28" s="797"/>
      <c r="E28" s="739"/>
      <c r="F28" s="20">
        <v>1</v>
      </c>
      <c r="G28" s="180" t="s">
        <v>194</v>
      </c>
    </row>
    <row r="29" spans="2:12" ht="18" customHeight="1" x14ac:dyDescent="0.35">
      <c r="B29" s="791" t="s">
        <v>77</v>
      </c>
      <c r="C29" s="66" t="s">
        <v>94</v>
      </c>
      <c r="D29" s="797" t="s">
        <v>92</v>
      </c>
      <c r="E29" s="739" t="s">
        <v>93</v>
      </c>
      <c r="F29" s="20">
        <v>1</v>
      </c>
      <c r="G29" s="794" t="s">
        <v>196</v>
      </c>
    </row>
    <row r="30" spans="2:12" ht="29" x14ac:dyDescent="0.35">
      <c r="B30" s="793"/>
      <c r="C30" s="66" t="s">
        <v>95</v>
      </c>
      <c r="D30" s="797"/>
      <c r="E30" s="739"/>
      <c r="F30" s="20">
        <v>1</v>
      </c>
      <c r="G30" s="795"/>
    </row>
    <row r="31" spans="2:12" s="27" customFormat="1" ht="43.5" x14ac:dyDescent="0.35">
      <c r="B31" s="791" t="s">
        <v>78</v>
      </c>
      <c r="C31" s="66" t="s">
        <v>100</v>
      </c>
      <c r="D31" s="797" t="s">
        <v>99</v>
      </c>
      <c r="E31" s="739">
        <v>0.2558449074074074</v>
      </c>
      <c r="F31" s="20">
        <v>1</v>
      </c>
      <c r="G31" s="794" t="s">
        <v>195</v>
      </c>
      <c r="I31"/>
      <c r="J31" s="450"/>
      <c r="K31" s="450"/>
      <c r="L31" s="450"/>
    </row>
    <row r="32" spans="2:12" ht="30" customHeight="1" x14ac:dyDescent="0.35">
      <c r="B32" s="792"/>
      <c r="C32" s="66" t="s">
        <v>101</v>
      </c>
      <c r="D32" s="797"/>
      <c r="E32" s="739"/>
      <c r="F32" s="20">
        <v>1</v>
      </c>
      <c r="G32" s="796"/>
      <c r="I32" s="196"/>
    </row>
    <row r="33" spans="2:12" ht="30" customHeight="1" x14ac:dyDescent="0.35">
      <c r="B33" s="793"/>
      <c r="C33" s="66" t="s">
        <v>102</v>
      </c>
      <c r="D33" s="797"/>
      <c r="E33" s="739"/>
      <c r="F33" s="20">
        <v>20</v>
      </c>
      <c r="G33" s="795"/>
    </row>
    <row r="34" spans="2:12" ht="30" customHeight="1" x14ac:dyDescent="0.35">
      <c r="B34" s="194" t="s">
        <v>79</v>
      </c>
      <c r="C34" s="66" t="s">
        <v>107</v>
      </c>
      <c r="D34" s="178" t="s">
        <v>108</v>
      </c>
      <c r="E34" s="153" t="s">
        <v>105</v>
      </c>
      <c r="F34" s="20">
        <v>1</v>
      </c>
      <c r="G34" s="182" t="s">
        <v>197</v>
      </c>
    </row>
    <row r="35" spans="2:12" ht="30" customHeight="1" x14ac:dyDescent="0.35"/>
    <row r="36" spans="2:12" ht="30" customHeight="1" x14ac:dyDescent="0.35"/>
    <row r="37" spans="2:12" ht="30" customHeight="1" x14ac:dyDescent="0.35">
      <c r="B37" s="198" t="s">
        <v>40</v>
      </c>
      <c r="C37" s="198" t="s">
        <v>47</v>
      </c>
      <c r="D37" s="198" t="s">
        <v>193</v>
      </c>
      <c r="E37" s="199" t="s">
        <v>360</v>
      </c>
      <c r="F37" s="198" t="s">
        <v>48</v>
      </c>
      <c r="G37" s="198" t="s">
        <v>45</v>
      </c>
    </row>
    <row r="38" spans="2:12" ht="30" customHeight="1" x14ac:dyDescent="0.35">
      <c r="B38" s="345" t="s">
        <v>76</v>
      </c>
      <c r="C38" s="346" t="s">
        <v>479</v>
      </c>
      <c r="D38" s="347" t="s">
        <v>158</v>
      </c>
      <c r="E38" s="346" t="s">
        <v>478</v>
      </c>
      <c r="F38" s="340">
        <v>5</v>
      </c>
      <c r="G38" s="341"/>
    </row>
    <row r="39" spans="2:12" ht="30" customHeight="1" x14ac:dyDescent="0.35">
      <c r="B39" s="789" t="s">
        <v>77</v>
      </c>
      <c r="C39" s="785" t="s">
        <v>147</v>
      </c>
      <c r="D39" s="787">
        <v>1.173900462962963</v>
      </c>
      <c r="E39" s="339" t="s">
        <v>148</v>
      </c>
      <c r="F39" s="340">
        <v>1</v>
      </c>
      <c r="G39" s="341"/>
    </row>
    <row r="40" spans="2:12" ht="30" customHeight="1" x14ac:dyDescent="0.35">
      <c r="B40" s="790"/>
      <c r="C40" s="786"/>
      <c r="D40" s="788"/>
      <c r="E40" s="339" t="s">
        <v>149</v>
      </c>
      <c r="F40" s="340">
        <v>1</v>
      </c>
      <c r="G40" s="341"/>
    </row>
    <row r="41" spans="2:12" ht="15.5" x14ac:dyDescent="0.35">
      <c r="B41" s="345" t="s">
        <v>77</v>
      </c>
      <c r="C41" s="346" t="s">
        <v>552</v>
      </c>
      <c r="D41" s="349" t="s">
        <v>191</v>
      </c>
      <c r="E41" s="346" t="s">
        <v>551</v>
      </c>
      <c r="F41" s="350">
        <v>3</v>
      </c>
      <c r="G41" s="351"/>
    </row>
    <row r="43" spans="2:12" s="200" customFormat="1" ht="18" customHeight="1" x14ac:dyDescent="0.35">
      <c r="B43"/>
      <c r="C43"/>
      <c r="D43"/>
      <c r="E43"/>
      <c r="F43"/>
      <c r="G43"/>
      <c r="J43" s="444"/>
      <c r="K43" s="444"/>
      <c r="L43" s="444"/>
    </row>
    <row r="44" spans="2:12" s="348" customFormat="1" ht="23" customHeight="1" x14ac:dyDescent="0.35">
      <c r="B44"/>
      <c r="C44"/>
      <c r="D44"/>
      <c r="E44"/>
      <c r="F44"/>
      <c r="G44"/>
      <c r="J44" s="451"/>
      <c r="K44" s="451"/>
      <c r="L44" s="451"/>
    </row>
    <row r="45" spans="2:12" s="342" customFormat="1" ht="18" hidden="1" customHeight="1" x14ac:dyDescent="0.35">
      <c r="B45"/>
      <c r="C45"/>
      <c r="D45"/>
      <c r="E45"/>
      <c r="F45"/>
      <c r="G45"/>
      <c r="J45" s="452"/>
      <c r="K45" s="452"/>
      <c r="L45" s="452"/>
    </row>
    <row r="46" spans="2:12" s="342" customFormat="1" ht="18" hidden="1" customHeight="1" x14ac:dyDescent="0.35">
      <c r="B46"/>
      <c r="C46"/>
      <c r="D46"/>
      <c r="E46"/>
      <c r="F46"/>
      <c r="G46"/>
      <c r="J46" s="452"/>
      <c r="K46" s="452"/>
      <c r="L46" s="452"/>
    </row>
    <row r="47" spans="2:12" s="348" customFormat="1" ht="22.25" customHeight="1" x14ac:dyDescent="0.35">
      <c r="B47"/>
      <c r="C47"/>
      <c r="D47"/>
      <c r="E47"/>
      <c r="F47"/>
      <c r="G47"/>
      <c r="J47" s="451"/>
      <c r="K47" s="451"/>
      <c r="L47" s="451"/>
    </row>
    <row r="48" spans="2:12" x14ac:dyDescent="0.35">
      <c r="I48" s="196"/>
    </row>
    <row r="50" spans="9:15" x14ac:dyDescent="0.35">
      <c r="K50" s="447">
        <v>908.58</v>
      </c>
      <c r="L50" s="447">
        <v>90.86</v>
      </c>
      <c r="M50" s="447">
        <v>2360.5</v>
      </c>
    </row>
    <row r="51" spans="9:15" x14ac:dyDescent="0.35">
      <c r="K51" s="447">
        <v>696.78</v>
      </c>
      <c r="L51" s="447">
        <v>69.680000000000007</v>
      </c>
      <c r="M51" s="447">
        <v>1810.23</v>
      </c>
    </row>
    <row r="52" spans="9:15" x14ac:dyDescent="0.35">
      <c r="K52" s="447">
        <v>120.75</v>
      </c>
      <c r="L52" s="447">
        <v>12.07</v>
      </c>
      <c r="M52" s="447">
        <v>313.7</v>
      </c>
    </row>
    <row r="53" spans="9:15" x14ac:dyDescent="0.35">
      <c r="K53" s="447">
        <v>5308.98</v>
      </c>
      <c r="L53" s="447">
        <v>530.9</v>
      </c>
      <c r="M53" s="447">
        <v>13792.73</v>
      </c>
    </row>
    <row r="54" spans="9:15" x14ac:dyDescent="0.35">
      <c r="I54" s="196"/>
      <c r="K54" s="447">
        <v>1545.98</v>
      </c>
      <c r="L54" s="447">
        <v>154.6</v>
      </c>
      <c r="M54" s="447">
        <v>4016.45</v>
      </c>
    </row>
    <row r="55" spans="9:15" x14ac:dyDescent="0.35">
      <c r="K55" s="447">
        <v>20824.189999999999</v>
      </c>
      <c r="L55" s="447">
        <v>2082.42</v>
      </c>
      <c r="M55" s="447">
        <v>54101.23</v>
      </c>
    </row>
    <row r="56" spans="9:15" x14ac:dyDescent="0.35">
      <c r="M56" s="447"/>
    </row>
    <row r="57" spans="9:15" x14ac:dyDescent="0.35">
      <c r="K57" s="444">
        <f>SUM(K50:K56)</f>
        <v>29405.26</v>
      </c>
      <c r="L57" s="444">
        <f>SUM(L50:L56)</f>
        <v>2940.53</v>
      </c>
      <c r="M57" s="444">
        <f>SUM(M50:M56)</f>
        <v>76394.84</v>
      </c>
      <c r="N57" s="453"/>
    </row>
    <row r="58" spans="9:15" x14ac:dyDescent="0.35">
      <c r="K58" s="447">
        <v>29405.26</v>
      </c>
      <c r="L58" s="447">
        <v>2940.53</v>
      </c>
      <c r="M58" s="447">
        <v>76394.84</v>
      </c>
      <c r="N58" s="447"/>
      <c r="O58" s="447"/>
    </row>
    <row r="59" spans="9:15" x14ac:dyDescent="0.35">
      <c r="M59" s="447"/>
      <c r="N59" s="447"/>
      <c r="O59" s="447"/>
    </row>
    <row r="60" spans="9:15" x14ac:dyDescent="0.35">
      <c r="M60" s="447"/>
    </row>
    <row r="62" spans="9:15" x14ac:dyDescent="0.35">
      <c r="I62" s="197"/>
    </row>
    <row r="63" spans="9:15" x14ac:dyDescent="0.35">
      <c r="I63" s="197"/>
    </row>
    <row r="64" spans="9:15" x14ac:dyDescent="0.35">
      <c r="I64" s="197"/>
    </row>
    <row r="238" spans="5:5" x14ac:dyDescent="0.35">
      <c r="E238" s="28" t="s">
        <v>46</v>
      </c>
    </row>
    <row r="239" spans="5:5" x14ac:dyDescent="0.35">
      <c r="E239" s="28" t="s">
        <v>46</v>
      </c>
    </row>
    <row r="240" spans="5:5" x14ac:dyDescent="0.35">
      <c r="E240" s="28" t="s">
        <v>46</v>
      </c>
    </row>
  </sheetData>
  <mergeCells count="14">
    <mergeCell ref="B26:B28"/>
    <mergeCell ref="G29:G30"/>
    <mergeCell ref="G31:G33"/>
    <mergeCell ref="D26:D28"/>
    <mergeCell ref="E26:E28"/>
    <mergeCell ref="D29:D30"/>
    <mergeCell ref="E29:E30"/>
    <mergeCell ref="D31:D33"/>
    <mergeCell ref="E31:E33"/>
    <mergeCell ref="C39:C40"/>
    <mergeCell ref="D39:D40"/>
    <mergeCell ref="B39:B40"/>
    <mergeCell ref="B31:B33"/>
    <mergeCell ref="B29:B3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18"/>
  <sheetViews>
    <sheetView tabSelected="1" workbookViewId="0">
      <selection activeCell="F16" sqref="F16"/>
    </sheetView>
  </sheetViews>
  <sheetFormatPr defaultRowHeight="14.5" x14ac:dyDescent="0.35"/>
  <cols>
    <col min="1" max="1" width="1.6328125" customWidth="1"/>
    <col min="2" max="2" width="3.6328125" bestFit="1" customWidth="1"/>
    <col min="3" max="3" width="12" bestFit="1" customWidth="1"/>
    <col min="4" max="4" width="11.453125" customWidth="1"/>
    <col min="5" max="5" width="11.36328125" bestFit="1" customWidth="1"/>
    <col min="6" max="6" width="48.6328125" customWidth="1"/>
    <col min="7" max="7" width="9.6328125" customWidth="1"/>
    <col min="8" max="8" width="14.08984375" customWidth="1"/>
  </cols>
  <sheetData>
    <row r="2" spans="2:8" s="333" customFormat="1" ht="42" x14ac:dyDescent="0.35">
      <c r="B2" s="335" t="s">
        <v>40</v>
      </c>
      <c r="C2" s="334" t="s">
        <v>618</v>
      </c>
      <c r="D2" s="334" t="s">
        <v>193</v>
      </c>
      <c r="E2" s="334" t="s">
        <v>613</v>
      </c>
      <c r="F2" s="334" t="s">
        <v>611</v>
      </c>
      <c r="G2" s="335" t="s">
        <v>612</v>
      </c>
      <c r="H2" s="334" t="s">
        <v>620</v>
      </c>
    </row>
    <row r="3" spans="2:8" s="1" customFormat="1" ht="35" customHeight="1" x14ac:dyDescent="0.35">
      <c r="B3" s="328">
        <v>1</v>
      </c>
      <c r="C3" s="328">
        <v>105001387</v>
      </c>
      <c r="D3" s="330">
        <v>0.17528935185185188</v>
      </c>
      <c r="E3" s="330" t="s">
        <v>176</v>
      </c>
      <c r="F3" s="332" t="s">
        <v>168</v>
      </c>
      <c r="G3" s="228">
        <v>6</v>
      </c>
      <c r="H3" s="343">
        <v>29134.2</v>
      </c>
    </row>
    <row r="4" spans="2:8" s="1" customFormat="1" ht="35" customHeight="1" x14ac:dyDescent="0.35">
      <c r="B4" s="328">
        <v>2</v>
      </c>
      <c r="C4" s="328">
        <v>105001388</v>
      </c>
      <c r="D4" s="330">
        <v>0.17528935185185188</v>
      </c>
      <c r="E4" s="330" t="s">
        <v>176</v>
      </c>
      <c r="F4" s="332" t="s">
        <v>169</v>
      </c>
      <c r="G4" s="228">
        <v>12</v>
      </c>
      <c r="H4" s="343">
        <v>78432.240000000005</v>
      </c>
    </row>
    <row r="5" spans="2:8" s="137" customFormat="1" ht="35" customHeight="1" x14ac:dyDescent="0.35">
      <c r="B5" s="217">
        <v>3</v>
      </c>
      <c r="C5" s="328">
        <v>105001390</v>
      </c>
      <c r="D5" s="331" t="s">
        <v>619</v>
      </c>
      <c r="E5" s="217" t="s">
        <v>115</v>
      </c>
      <c r="F5" s="332" t="s">
        <v>113</v>
      </c>
      <c r="G5" s="228">
        <v>12</v>
      </c>
      <c r="H5" s="343">
        <v>85384.8</v>
      </c>
    </row>
    <row r="6" spans="2:8" s="137" customFormat="1" ht="35" customHeight="1" x14ac:dyDescent="0.35">
      <c r="B6" s="217">
        <v>4</v>
      </c>
      <c r="C6" s="328">
        <v>105001389</v>
      </c>
      <c r="D6" s="331" t="s">
        <v>619</v>
      </c>
      <c r="E6" s="217" t="s">
        <v>115</v>
      </c>
      <c r="F6" s="332" t="s">
        <v>114</v>
      </c>
      <c r="G6" s="228">
        <v>9</v>
      </c>
      <c r="H6" s="343">
        <v>69900.84</v>
      </c>
    </row>
    <row r="7" spans="2:8" s="137" customFormat="1" ht="35" customHeight="1" x14ac:dyDescent="0.35">
      <c r="B7" s="217">
        <v>5</v>
      </c>
      <c r="C7" s="328">
        <v>105001386</v>
      </c>
      <c r="D7" s="330" t="s">
        <v>191</v>
      </c>
      <c r="E7" s="330" t="s">
        <v>488</v>
      </c>
      <c r="F7" s="336" t="s">
        <v>323</v>
      </c>
      <c r="G7" s="328">
        <v>4</v>
      </c>
      <c r="H7" s="344">
        <v>19333.12</v>
      </c>
    </row>
    <row r="8" spans="2:8" s="137" customFormat="1" ht="35" customHeight="1" x14ac:dyDescent="0.35">
      <c r="B8" s="217">
        <v>6</v>
      </c>
      <c r="C8" s="328"/>
      <c r="D8" s="330"/>
      <c r="E8" s="330" t="s">
        <v>83</v>
      </c>
      <c r="F8" s="336" t="s">
        <v>85</v>
      </c>
      <c r="G8" s="328">
        <v>40</v>
      </c>
      <c r="H8" s="344">
        <v>99120</v>
      </c>
    </row>
    <row r="9" spans="2:8" x14ac:dyDescent="0.35">
      <c r="H9" s="344">
        <f>SUM(H3:H8)</f>
        <v>381305.19999999995</v>
      </c>
    </row>
    <row r="11" spans="2:8" ht="15" customHeight="1" x14ac:dyDescent="0.35">
      <c r="F11" s="337"/>
      <c r="H11" s="338"/>
    </row>
    <row r="12" spans="2:8" x14ac:dyDescent="0.35">
      <c r="F12" s="337"/>
    </row>
    <row r="13" spans="2:8" x14ac:dyDescent="0.35">
      <c r="F13" s="337"/>
    </row>
    <row r="14" spans="2:8" x14ac:dyDescent="0.35">
      <c r="F14" s="337"/>
    </row>
    <row r="15" spans="2:8" x14ac:dyDescent="0.35">
      <c r="F15" s="337"/>
    </row>
    <row r="16" spans="2:8" x14ac:dyDescent="0.35">
      <c r="F16" s="337"/>
    </row>
    <row r="17" spans="6:6" x14ac:dyDescent="0.35">
      <c r="F17" s="337"/>
    </row>
    <row r="18" spans="6:6" x14ac:dyDescent="0.35">
      <c r="F18" s="337"/>
    </row>
  </sheetData>
  <pageMargins left="0.12" right="0.12" top="0.46" bottom="0.74803149606299213" header="0.21" footer="0.31496062992125984"/>
  <pageSetup paperSize="9" orientation="landscape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34"/>
  <sheetViews>
    <sheetView topLeftCell="A25" workbookViewId="0">
      <selection activeCell="A33" sqref="A33:E34"/>
    </sheetView>
  </sheetViews>
  <sheetFormatPr defaultColWidth="8.90625" defaultRowHeight="14" x14ac:dyDescent="0.3"/>
  <cols>
    <col min="1" max="1" width="5.6328125" style="2" customWidth="1"/>
    <col min="2" max="2" width="43.90625" style="516" customWidth="1"/>
    <col min="3" max="3" width="14.453125" style="516" customWidth="1"/>
    <col min="4" max="4" width="12.6328125" style="516" customWidth="1"/>
    <col min="5" max="5" width="9" style="516" bestFit="1" customWidth="1"/>
    <col min="6" max="6" width="32.36328125" style="516" customWidth="1"/>
    <col min="7" max="9" width="8.90625" style="516"/>
    <col min="10" max="10" width="11.54296875" style="516" bestFit="1" customWidth="1"/>
    <col min="11" max="11" width="14.90625" style="516" customWidth="1"/>
    <col min="12" max="12" width="13.6328125" style="516" bestFit="1" customWidth="1"/>
    <col min="13" max="13" width="17.453125" style="516" customWidth="1"/>
    <col min="14" max="16384" width="8.90625" style="516"/>
  </cols>
  <sheetData>
    <row r="2" spans="1:14" s="2" customFormat="1" ht="18.649999999999999" customHeight="1" x14ac:dyDescent="0.3">
      <c r="A2" s="41" t="s">
        <v>40</v>
      </c>
      <c r="B2" s="41" t="s">
        <v>44</v>
      </c>
      <c r="C2" s="41" t="s">
        <v>47</v>
      </c>
      <c r="D2" s="41" t="s">
        <v>193</v>
      </c>
      <c r="E2" s="41" t="s">
        <v>48</v>
      </c>
      <c r="F2" s="41" t="s">
        <v>45</v>
      </c>
      <c r="I2" s="534" t="s">
        <v>40</v>
      </c>
      <c r="J2" s="534" t="s">
        <v>1038</v>
      </c>
      <c r="K2" s="534" t="s">
        <v>1039</v>
      </c>
      <c r="L2" s="516"/>
      <c r="M2" s="516"/>
      <c r="N2" s="516"/>
    </row>
    <row r="3" spans="1:14" ht="24" customHeight="1" x14ac:dyDescent="0.35">
      <c r="A3" s="513" t="s">
        <v>76</v>
      </c>
      <c r="B3" s="517" t="s">
        <v>409</v>
      </c>
      <c r="C3" s="514" t="s">
        <v>410</v>
      </c>
      <c r="D3" s="514">
        <v>0.54266203703703708</v>
      </c>
      <c r="E3" s="518">
        <v>2</v>
      </c>
      <c r="F3" s="515"/>
      <c r="I3" s="335">
        <v>1</v>
      </c>
      <c r="J3" s="335">
        <v>102639006</v>
      </c>
      <c r="K3" s="533">
        <v>46108</v>
      </c>
      <c r="L3" s="530" t="s">
        <v>1010</v>
      </c>
      <c r="M3" s="440" t="s">
        <v>941</v>
      </c>
      <c r="N3" s="440">
        <v>1</v>
      </c>
    </row>
    <row r="4" spans="1:14" ht="24" customHeight="1" x14ac:dyDescent="0.35">
      <c r="A4" s="513" t="s">
        <v>77</v>
      </c>
      <c r="B4" s="519" t="s">
        <v>393</v>
      </c>
      <c r="C4" s="520" t="s">
        <v>580</v>
      </c>
      <c r="D4" s="520">
        <v>0.12668981481481481</v>
      </c>
      <c r="E4" s="521">
        <v>134</v>
      </c>
      <c r="F4" s="515"/>
      <c r="I4" s="531">
        <v>2</v>
      </c>
      <c r="J4" s="531">
        <v>102639006</v>
      </c>
      <c r="K4" s="532">
        <v>46108</v>
      </c>
      <c r="L4" s="440" t="s">
        <v>1011</v>
      </c>
      <c r="M4" s="440" t="s">
        <v>940</v>
      </c>
      <c r="N4" s="440">
        <v>1</v>
      </c>
    </row>
    <row r="5" spans="1:14" ht="24" customHeight="1" x14ac:dyDescent="0.35">
      <c r="A5" s="513" t="s">
        <v>78</v>
      </c>
      <c r="B5" s="517" t="s">
        <v>581</v>
      </c>
      <c r="C5" s="798" t="s">
        <v>585</v>
      </c>
      <c r="D5" s="798">
        <v>0.12668981481481481</v>
      </c>
      <c r="E5" s="518">
        <v>2</v>
      </c>
      <c r="F5" s="515"/>
      <c r="I5" s="528">
        <v>3</v>
      </c>
      <c r="J5" s="528">
        <v>102639013</v>
      </c>
      <c r="K5" s="529">
        <v>46108</v>
      </c>
      <c r="L5" s="440" t="s">
        <v>720</v>
      </c>
      <c r="M5" s="440" t="s">
        <v>722</v>
      </c>
      <c r="N5" s="440">
        <v>7</v>
      </c>
    </row>
    <row r="6" spans="1:14" ht="24" customHeight="1" x14ac:dyDescent="0.35">
      <c r="A6" s="513" t="s">
        <v>79</v>
      </c>
      <c r="B6" s="517" t="s">
        <v>583</v>
      </c>
      <c r="C6" s="798"/>
      <c r="D6" s="798"/>
      <c r="E6" s="518">
        <v>4</v>
      </c>
      <c r="F6" s="515"/>
      <c r="I6" s="528">
        <v>4</v>
      </c>
      <c r="J6" s="528">
        <v>102638932</v>
      </c>
      <c r="K6" s="529">
        <v>46107</v>
      </c>
      <c r="L6" s="440" t="s">
        <v>1010</v>
      </c>
      <c r="M6" s="440" t="s">
        <v>941</v>
      </c>
      <c r="N6" s="440">
        <v>1</v>
      </c>
    </row>
    <row r="7" spans="1:14" ht="24" customHeight="1" x14ac:dyDescent="0.35">
      <c r="A7" s="513" t="s">
        <v>974</v>
      </c>
      <c r="B7" s="517" t="s">
        <v>584</v>
      </c>
      <c r="C7" s="798"/>
      <c r="D7" s="798"/>
      <c r="E7" s="518">
        <v>2</v>
      </c>
      <c r="F7" s="515"/>
      <c r="I7" s="528">
        <v>5</v>
      </c>
      <c r="J7" s="528">
        <v>102638942</v>
      </c>
      <c r="K7" s="529">
        <v>46107</v>
      </c>
      <c r="L7" s="440" t="s">
        <v>1012</v>
      </c>
      <c r="M7" s="440" t="s">
        <v>1013</v>
      </c>
      <c r="N7" s="440">
        <v>40</v>
      </c>
    </row>
    <row r="8" spans="1:14" ht="24" customHeight="1" x14ac:dyDescent="0.35">
      <c r="A8" s="513" t="s">
        <v>975</v>
      </c>
      <c r="B8" s="517" t="s">
        <v>582</v>
      </c>
      <c r="C8" s="798"/>
      <c r="D8" s="798"/>
      <c r="E8" s="518">
        <v>3</v>
      </c>
      <c r="F8" s="515"/>
      <c r="I8" s="528">
        <v>6</v>
      </c>
      <c r="J8" s="528">
        <v>102638894</v>
      </c>
      <c r="K8" s="529">
        <v>46107</v>
      </c>
      <c r="L8" s="440" t="s">
        <v>1014</v>
      </c>
      <c r="M8" s="440" t="s">
        <v>1015</v>
      </c>
      <c r="N8" s="440">
        <v>25</v>
      </c>
    </row>
    <row r="9" spans="1:14" ht="24" customHeight="1" x14ac:dyDescent="0.35">
      <c r="A9" s="513" t="s">
        <v>976</v>
      </c>
      <c r="B9" s="517" t="s">
        <v>616</v>
      </c>
      <c r="C9" s="514" t="s">
        <v>615</v>
      </c>
      <c r="D9" s="514">
        <v>0.37668981481481478</v>
      </c>
      <c r="E9" s="518">
        <v>15</v>
      </c>
      <c r="F9" s="515"/>
      <c r="I9" s="528">
        <v>7</v>
      </c>
      <c r="J9" s="528">
        <v>102638894</v>
      </c>
      <c r="K9" s="529">
        <v>46107</v>
      </c>
      <c r="L9" s="440" t="s">
        <v>1016</v>
      </c>
      <c r="M9" s="440" t="s">
        <v>1017</v>
      </c>
      <c r="N9" s="440">
        <v>6</v>
      </c>
    </row>
    <row r="10" spans="1:14" ht="24" customHeight="1" x14ac:dyDescent="0.35">
      <c r="A10" s="513" t="s">
        <v>499</v>
      </c>
      <c r="B10" s="517" t="s">
        <v>903</v>
      </c>
      <c r="C10" s="798" t="s">
        <v>895</v>
      </c>
      <c r="D10" s="798">
        <v>0.7107175925925926</v>
      </c>
      <c r="E10" s="518">
        <v>5</v>
      </c>
      <c r="F10" s="515"/>
      <c r="I10" s="528">
        <v>8</v>
      </c>
      <c r="J10" s="528">
        <v>102638777</v>
      </c>
      <c r="K10" s="529">
        <v>46106</v>
      </c>
      <c r="L10" s="440" t="s">
        <v>1018</v>
      </c>
      <c r="M10" s="440" t="s">
        <v>721</v>
      </c>
      <c r="N10" s="440">
        <v>25</v>
      </c>
    </row>
    <row r="11" spans="1:14" ht="24" customHeight="1" x14ac:dyDescent="0.35">
      <c r="A11" s="513" t="s">
        <v>498</v>
      </c>
      <c r="B11" s="517" t="s">
        <v>902</v>
      </c>
      <c r="C11" s="798"/>
      <c r="D11" s="798"/>
      <c r="E11" s="518">
        <v>10</v>
      </c>
      <c r="F11" s="515"/>
      <c r="I11" s="528">
        <v>9</v>
      </c>
      <c r="J11" s="528">
        <v>102638642</v>
      </c>
      <c r="K11" s="529">
        <v>46106</v>
      </c>
      <c r="L11" s="440" t="s">
        <v>1019</v>
      </c>
      <c r="M11" s="440" t="s">
        <v>1020</v>
      </c>
      <c r="N11" s="440">
        <v>4</v>
      </c>
    </row>
    <row r="12" spans="1:14" ht="24" customHeight="1" x14ac:dyDescent="0.35">
      <c r="A12" s="513" t="s">
        <v>500</v>
      </c>
      <c r="B12" s="517" t="s">
        <v>901</v>
      </c>
      <c r="C12" s="798"/>
      <c r="D12" s="798"/>
      <c r="E12" s="518">
        <v>10</v>
      </c>
      <c r="F12" s="515"/>
      <c r="I12" s="528">
        <v>10</v>
      </c>
      <c r="J12" s="528">
        <v>102638570</v>
      </c>
      <c r="K12" s="529">
        <v>46105</v>
      </c>
      <c r="L12" s="440" t="s">
        <v>1021</v>
      </c>
      <c r="M12" s="440" t="s">
        <v>719</v>
      </c>
      <c r="N12" s="440">
        <v>5</v>
      </c>
    </row>
    <row r="13" spans="1:14" ht="24" customHeight="1" x14ac:dyDescent="0.35">
      <c r="A13" s="513" t="s">
        <v>977</v>
      </c>
      <c r="B13" s="517" t="s">
        <v>900</v>
      </c>
      <c r="C13" s="798"/>
      <c r="D13" s="798"/>
      <c r="E13" s="518">
        <v>5</v>
      </c>
      <c r="F13" s="515"/>
      <c r="I13" s="528">
        <v>11</v>
      </c>
      <c r="J13" s="528">
        <v>102638594</v>
      </c>
      <c r="K13" s="529">
        <v>46105</v>
      </c>
      <c r="L13" s="440" t="s">
        <v>1018</v>
      </c>
      <c r="M13" s="440" t="s">
        <v>721</v>
      </c>
      <c r="N13" s="440">
        <v>15</v>
      </c>
    </row>
    <row r="14" spans="1:14" ht="24" customHeight="1" x14ac:dyDescent="0.35">
      <c r="A14" s="513" t="s">
        <v>978</v>
      </c>
      <c r="B14" s="517" t="s">
        <v>899</v>
      </c>
      <c r="C14" s="798"/>
      <c r="D14" s="798"/>
      <c r="E14" s="518">
        <v>5</v>
      </c>
      <c r="F14" s="515"/>
      <c r="I14" s="528">
        <v>12</v>
      </c>
      <c r="J14" s="528">
        <v>102638507</v>
      </c>
      <c r="K14" s="529">
        <v>46105</v>
      </c>
      <c r="L14" s="440" t="s">
        <v>720</v>
      </c>
      <c r="M14" s="440" t="s">
        <v>724</v>
      </c>
      <c r="N14" s="440">
        <v>20</v>
      </c>
    </row>
    <row r="15" spans="1:14" ht="24" customHeight="1" x14ac:dyDescent="0.35">
      <c r="A15" s="513" t="s">
        <v>979</v>
      </c>
      <c r="B15" s="517" t="s">
        <v>898</v>
      </c>
      <c r="C15" s="798"/>
      <c r="D15" s="798"/>
      <c r="E15" s="518">
        <v>2</v>
      </c>
      <c r="F15" s="515"/>
      <c r="I15" s="528">
        <v>13</v>
      </c>
      <c r="J15" s="528">
        <v>102638268</v>
      </c>
      <c r="K15" s="529">
        <v>46104</v>
      </c>
      <c r="L15" s="440" t="s">
        <v>1022</v>
      </c>
      <c r="M15" s="440" t="s">
        <v>1023</v>
      </c>
      <c r="N15" s="440">
        <v>1</v>
      </c>
    </row>
    <row r="16" spans="1:14" ht="24" customHeight="1" x14ac:dyDescent="0.35">
      <c r="A16" s="513" t="s">
        <v>686</v>
      </c>
      <c r="B16" s="517" t="s">
        <v>897</v>
      </c>
      <c r="C16" s="798"/>
      <c r="D16" s="798"/>
      <c r="E16" s="518">
        <v>10</v>
      </c>
      <c r="F16" s="515"/>
      <c r="I16" s="528">
        <v>14</v>
      </c>
      <c r="J16" s="528">
        <v>102638168</v>
      </c>
      <c r="K16" s="529">
        <v>46103</v>
      </c>
      <c r="L16" s="440" t="s">
        <v>1024</v>
      </c>
      <c r="M16" s="440" t="s">
        <v>1025</v>
      </c>
      <c r="N16" s="440">
        <v>1</v>
      </c>
    </row>
    <row r="17" spans="1:14" ht="24" customHeight="1" x14ac:dyDescent="0.35">
      <c r="A17" s="513" t="s">
        <v>687</v>
      </c>
      <c r="B17" s="517" t="s">
        <v>896</v>
      </c>
      <c r="C17" s="798"/>
      <c r="D17" s="798"/>
      <c r="E17" s="518">
        <v>5</v>
      </c>
      <c r="F17" s="515"/>
      <c r="I17" s="528">
        <v>15</v>
      </c>
      <c r="J17" s="528">
        <v>102638193</v>
      </c>
      <c r="K17" s="529">
        <v>46103</v>
      </c>
      <c r="L17" s="440" t="s">
        <v>1026</v>
      </c>
      <c r="M17" s="440" t="s">
        <v>1027</v>
      </c>
      <c r="N17" s="440">
        <v>8</v>
      </c>
    </row>
    <row r="18" spans="1:14" ht="24" customHeight="1" x14ac:dyDescent="0.35">
      <c r="I18" s="528">
        <v>16</v>
      </c>
      <c r="J18" s="528">
        <v>102638198</v>
      </c>
      <c r="K18" s="529">
        <v>46103</v>
      </c>
      <c r="L18" s="440" t="s">
        <v>1028</v>
      </c>
      <c r="M18" s="440" t="s">
        <v>1029</v>
      </c>
      <c r="N18" s="440">
        <v>1</v>
      </c>
    </row>
    <row r="19" spans="1:14" ht="24" customHeight="1" x14ac:dyDescent="0.35">
      <c r="I19" s="528">
        <v>17</v>
      </c>
      <c r="J19" s="528">
        <v>102638240</v>
      </c>
      <c r="K19" s="529">
        <v>46103</v>
      </c>
      <c r="L19" s="440" t="s">
        <v>1030</v>
      </c>
      <c r="M19" s="440" t="s">
        <v>1031</v>
      </c>
      <c r="N19" s="440">
        <v>1</v>
      </c>
    </row>
    <row r="20" spans="1:14" ht="24" customHeight="1" x14ac:dyDescent="0.35">
      <c r="I20" s="528">
        <v>18</v>
      </c>
      <c r="J20" s="528">
        <v>102638240</v>
      </c>
      <c r="K20" s="529">
        <v>46103</v>
      </c>
      <c r="L20" s="440" t="s">
        <v>1032</v>
      </c>
      <c r="M20" s="440" t="s">
        <v>600</v>
      </c>
      <c r="N20" s="440">
        <v>2</v>
      </c>
    </row>
    <row r="21" spans="1:14" ht="24" customHeight="1" x14ac:dyDescent="0.35">
      <c r="I21" s="528">
        <v>19</v>
      </c>
      <c r="J21" s="528">
        <v>102638251</v>
      </c>
      <c r="K21" s="529">
        <v>46103</v>
      </c>
      <c r="L21" s="440" t="s">
        <v>1033</v>
      </c>
      <c r="M21" s="440" t="s">
        <v>1034</v>
      </c>
      <c r="N21" s="440">
        <v>8</v>
      </c>
    </row>
    <row r="22" spans="1:14" ht="24" customHeight="1" x14ac:dyDescent="0.35">
      <c r="I22" s="528">
        <v>20</v>
      </c>
      <c r="J22" s="528">
        <v>102638125</v>
      </c>
      <c r="K22" s="529">
        <v>46102</v>
      </c>
      <c r="L22" s="440" t="s">
        <v>1016</v>
      </c>
      <c r="M22" s="440" t="s">
        <v>497</v>
      </c>
      <c r="N22" s="440">
        <v>20</v>
      </c>
    </row>
    <row r="23" spans="1:14" ht="24" customHeight="1" x14ac:dyDescent="0.35">
      <c r="I23" s="528">
        <v>21</v>
      </c>
      <c r="J23" s="528">
        <v>102638126</v>
      </c>
      <c r="K23" s="529">
        <v>46102</v>
      </c>
      <c r="L23" s="440" t="s">
        <v>1018</v>
      </c>
      <c r="M23" s="440" t="s">
        <v>1035</v>
      </c>
      <c r="N23" s="440">
        <v>11</v>
      </c>
    </row>
    <row r="24" spans="1:14" ht="24" customHeight="1" x14ac:dyDescent="0.35">
      <c r="A24" s="2" t="s">
        <v>40</v>
      </c>
      <c r="B24" s="516" t="s">
        <v>1038</v>
      </c>
      <c r="C24" s="516" t="s">
        <v>1039</v>
      </c>
      <c r="I24" s="528">
        <v>22</v>
      </c>
      <c r="J24" s="528">
        <v>102638038</v>
      </c>
      <c r="K24" s="529">
        <v>46101</v>
      </c>
      <c r="L24" s="440" t="s">
        <v>1036</v>
      </c>
      <c r="M24" s="440" t="s">
        <v>1037</v>
      </c>
      <c r="N24" s="440">
        <v>6</v>
      </c>
    </row>
    <row r="33" spans="1:5" s="1" customFormat="1" ht="19.25" customHeight="1" x14ac:dyDescent="0.35">
      <c r="A33" s="579" t="s">
        <v>13</v>
      </c>
      <c r="B33" s="579" t="s">
        <v>3</v>
      </c>
      <c r="C33" s="579" t="s">
        <v>16</v>
      </c>
      <c r="D33" s="579" t="s">
        <v>17</v>
      </c>
      <c r="E33" s="579" t="s">
        <v>1</v>
      </c>
    </row>
    <row r="34" spans="1:5" s="577" customFormat="1" x14ac:dyDescent="0.35">
      <c r="A34" s="578">
        <v>1</v>
      </c>
      <c r="B34" s="384" t="s">
        <v>492</v>
      </c>
      <c r="C34" s="514" t="s">
        <v>495</v>
      </c>
      <c r="D34" s="514" t="s">
        <v>356</v>
      </c>
      <c r="E34" s="384">
        <v>8</v>
      </c>
    </row>
  </sheetData>
  <mergeCells count="4">
    <mergeCell ref="C5:C8"/>
    <mergeCell ref="D5:D8"/>
    <mergeCell ref="C10:C17"/>
    <mergeCell ref="D10:D17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7"/>
  <sheetViews>
    <sheetView workbookViewId="0">
      <selection activeCell="A13" sqref="A13:XFD13"/>
    </sheetView>
  </sheetViews>
  <sheetFormatPr defaultRowHeight="14.5" x14ac:dyDescent="0.35"/>
  <cols>
    <col min="9" max="9" width="9.81640625" bestFit="1" customWidth="1"/>
  </cols>
  <sheetData>
    <row r="1" spans="1:12" s="261" customFormat="1" ht="29" x14ac:dyDescent="0.35">
      <c r="A1" s="159" t="s">
        <v>13</v>
      </c>
      <c r="B1" s="159" t="s">
        <v>16</v>
      </c>
      <c r="C1" s="159" t="s">
        <v>17</v>
      </c>
      <c r="D1" s="159" t="s">
        <v>0</v>
      </c>
      <c r="E1" s="159" t="s">
        <v>547</v>
      </c>
      <c r="F1" s="159" t="s">
        <v>509</v>
      </c>
      <c r="G1" s="159" t="s">
        <v>1</v>
      </c>
      <c r="H1" s="159" t="s">
        <v>18</v>
      </c>
      <c r="I1" s="159" t="s">
        <v>10</v>
      </c>
      <c r="J1" s="159" t="s">
        <v>510</v>
      </c>
      <c r="K1" s="159" t="s">
        <v>511</v>
      </c>
      <c r="L1" s="260"/>
    </row>
    <row r="2" spans="1:12" s="552" customFormat="1" ht="27" customHeight="1" x14ac:dyDescent="0.35">
      <c r="A2" s="546">
        <v>1</v>
      </c>
      <c r="B2" s="546" t="s">
        <v>259</v>
      </c>
      <c r="C2" s="547">
        <v>0.50862268518518516</v>
      </c>
      <c r="D2" s="547" t="s">
        <v>253</v>
      </c>
      <c r="E2" s="547"/>
      <c r="F2" s="548" t="s">
        <v>254</v>
      </c>
      <c r="G2" s="549">
        <v>100</v>
      </c>
      <c r="H2" s="550">
        <v>214</v>
      </c>
      <c r="I2" s="551">
        <f t="shared" ref="I2:I27" si="0">G2*H2</f>
        <v>21400</v>
      </c>
      <c r="J2" s="546" t="s">
        <v>65</v>
      </c>
      <c r="K2" s="262" t="s">
        <v>1167</v>
      </c>
      <c r="L2" s="546"/>
    </row>
    <row r="3" spans="1:12" s="552" customFormat="1" ht="27" customHeight="1" x14ac:dyDescent="0.35">
      <c r="A3" s="546"/>
      <c r="B3" s="546"/>
      <c r="C3" s="547"/>
      <c r="D3" s="547"/>
      <c r="E3" s="547"/>
      <c r="F3" s="548" t="s">
        <v>255</v>
      </c>
      <c r="G3" s="549">
        <v>100</v>
      </c>
      <c r="H3" s="550">
        <v>214</v>
      </c>
      <c r="I3" s="551">
        <f t="shared" si="0"/>
        <v>21400</v>
      </c>
      <c r="J3" s="546" t="s">
        <v>65</v>
      </c>
      <c r="K3" s="262" t="s">
        <v>1167</v>
      </c>
      <c r="L3" s="546"/>
    </row>
    <row r="4" spans="1:12" s="552" customFormat="1" ht="27" customHeight="1" x14ac:dyDescent="0.35">
      <c r="A4" s="546"/>
      <c r="B4" s="546"/>
      <c r="C4" s="547"/>
      <c r="D4" s="547"/>
      <c r="E4" s="547"/>
      <c r="F4" s="548" t="s">
        <v>256</v>
      </c>
      <c r="G4" s="549">
        <v>100</v>
      </c>
      <c r="H4" s="550">
        <v>214</v>
      </c>
      <c r="I4" s="551">
        <f t="shared" si="0"/>
        <v>21400</v>
      </c>
      <c r="J4" s="546" t="s">
        <v>65</v>
      </c>
      <c r="K4" s="262" t="s">
        <v>1167</v>
      </c>
      <c r="L4" s="546"/>
    </row>
    <row r="5" spans="1:12" s="552" customFormat="1" ht="27" customHeight="1" x14ac:dyDescent="0.35">
      <c r="A5" s="546"/>
      <c r="B5" s="546"/>
      <c r="C5" s="547"/>
      <c r="D5" s="547"/>
      <c r="E5" s="547"/>
      <c r="F5" s="548" t="s">
        <v>257</v>
      </c>
      <c r="G5" s="549">
        <v>100</v>
      </c>
      <c r="H5" s="550">
        <v>214</v>
      </c>
      <c r="I5" s="551">
        <f t="shared" si="0"/>
        <v>21400</v>
      </c>
      <c r="J5" s="546" t="s">
        <v>65</v>
      </c>
      <c r="K5" s="262" t="s">
        <v>1167</v>
      </c>
      <c r="L5" s="546"/>
    </row>
    <row r="6" spans="1:12" s="552" customFormat="1" ht="27" customHeight="1" x14ac:dyDescent="0.35">
      <c r="A6" s="546"/>
      <c r="B6" s="546"/>
      <c r="C6" s="547"/>
      <c r="D6" s="547"/>
      <c r="E6" s="547"/>
      <c r="F6" s="548" t="s">
        <v>261</v>
      </c>
      <c r="G6" s="549">
        <v>100</v>
      </c>
      <c r="H6" s="550">
        <v>359</v>
      </c>
      <c r="I6" s="551">
        <f t="shared" si="0"/>
        <v>35900</v>
      </c>
      <c r="J6" s="546" t="s">
        <v>65</v>
      </c>
      <c r="K6" s="262" t="s">
        <v>1167</v>
      </c>
      <c r="L6" s="546"/>
    </row>
    <row r="7" spans="1:12" s="552" customFormat="1" ht="27" customHeight="1" x14ac:dyDescent="0.35">
      <c r="A7" s="546"/>
      <c r="B7" s="546"/>
      <c r="C7" s="547"/>
      <c r="D7" s="547"/>
      <c r="E7" s="547"/>
      <c r="F7" s="548" t="s">
        <v>258</v>
      </c>
      <c r="G7" s="549">
        <v>100</v>
      </c>
      <c r="H7" s="550">
        <v>214</v>
      </c>
      <c r="I7" s="551">
        <f t="shared" si="0"/>
        <v>21400</v>
      </c>
      <c r="J7" s="546" t="s">
        <v>65</v>
      </c>
      <c r="K7" s="262" t="s">
        <v>1167</v>
      </c>
      <c r="L7" s="546"/>
    </row>
    <row r="8" spans="1:12" s="552" customFormat="1" ht="26.4" customHeight="1" x14ac:dyDescent="0.35">
      <c r="A8" s="546">
        <v>2</v>
      </c>
      <c r="B8" s="546" t="s">
        <v>288</v>
      </c>
      <c r="C8" s="547">
        <v>0.9252893518518519</v>
      </c>
      <c r="D8" s="547">
        <v>4.5439814814814815E-2</v>
      </c>
      <c r="E8" s="547"/>
      <c r="F8" s="548" t="s">
        <v>287</v>
      </c>
      <c r="G8" s="549">
        <v>5</v>
      </c>
      <c r="H8" s="550">
        <v>5093.3999999999996</v>
      </c>
      <c r="I8" s="551">
        <f t="shared" si="0"/>
        <v>25467</v>
      </c>
      <c r="J8" s="546" t="s">
        <v>65</v>
      </c>
      <c r="K8" s="262" t="s">
        <v>1167</v>
      </c>
      <c r="L8" s="546" t="s">
        <v>517</v>
      </c>
    </row>
    <row r="9" spans="1:12" s="561" customFormat="1" ht="27" customHeight="1" x14ac:dyDescent="0.35">
      <c r="A9" s="555">
        <v>3</v>
      </c>
      <c r="B9" s="555" t="s">
        <v>365</v>
      </c>
      <c r="C9" s="556" t="s">
        <v>357</v>
      </c>
      <c r="D9" s="556">
        <v>8.7106481481481479E-2</v>
      </c>
      <c r="E9" s="556"/>
      <c r="F9" s="557" t="s">
        <v>361</v>
      </c>
      <c r="G9" s="558">
        <v>1</v>
      </c>
      <c r="H9" s="559">
        <v>9800</v>
      </c>
      <c r="I9" s="560">
        <f t="shared" si="0"/>
        <v>9800</v>
      </c>
      <c r="J9" s="555" t="s">
        <v>54</v>
      </c>
      <c r="K9" s="262" t="s">
        <v>1167</v>
      </c>
      <c r="L9" s="555"/>
    </row>
    <row r="10" spans="1:12" s="561" customFormat="1" ht="27" customHeight="1" x14ac:dyDescent="0.35">
      <c r="A10" s="555"/>
      <c r="B10" s="555"/>
      <c r="C10" s="556"/>
      <c r="D10" s="556"/>
      <c r="E10" s="556"/>
      <c r="F10" s="557" t="s">
        <v>362</v>
      </c>
      <c r="G10" s="558">
        <v>1</v>
      </c>
      <c r="H10" s="559">
        <v>27601</v>
      </c>
      <c r="I10" s="560">
        <f t="shared" si="0"/>
        <v>27601</v>
      </c>
      <c r="J10" s="555" t="s">
        <v>54</v>
      </c>
      <c r="K10" s="262" t="s">
        <v>1167</v>
      </c>
      <c r="L10" s="555"/>
    </row>
    <row r="11" spans="1:12" s="561" customFormat="1" ht="27" customHeight="1" x14ac:dyDescent="0.35">
      <c r="A11" s="555"/>
      <c r="B11" s="555"/>
      <c r="C11" s="556"/>
      <c r="D11" s="556"/>
      <c r="E11" s="556"/>
      <c r="F11" s="557" t="s">
        <v>363</v>
      </c>
      <c r="G11" s="558">
        <v>1</v>
      </c>
      <c r="H11" s="559">
        <v>59000</v>
      </c>
      <c r="I11" s="560">
        <f t="shared" si="0"/>
        <v>59000</v>
      </c>
      <c r="J11" s="555" t="s">
        <v>54</v>
      </c>
      <c r="K11" s="262" t="s">
        <v>1167</v>
      </c>
      <c r="L11" s="555"/>
    </row>
    <row r="12" spans="1:12" s="561" customFormat="1" ht="27" customHeight="1" x14ac:dyDescent="0.35">
      <c r="A12" s="555"/>
      <c r="B12" s="555"/>
      <c r="C12" s="556"/>
      <c r="D12" s="556"/>
      <c r="E12" s="556"/>
      <c r="F12" s="557" t="s">
        <v>364</v>
      </c>
      <c r="G12" s="558">
        <v>1</v>
      </c>
      <c r="H12" s="559">
        <v>59800</v>
      </c>
      <c r="I12" s="560">
        <f t="shared" si="0"/>
        <v>59800</v>
      </c>
      <c r="J12" s="555" t="s">
        <v>54</v>
      </c>
      <c r="K12" s="262" t="s">
        <v>1167</v>
      </c>
      <c r="L12" s="555"/>
    </row>
    <row r="13" spans="1:12" s="552" customFormat="1" ht="27" customHeight="1" x14ac:dyDescent="0.35">
      <c r="A13" s="546">
        <v>22</v>
      </c>
      <c r="B13" s="546" t="s">
        <v>401</v>
      </c>
      <c r="C13" s="547">
        <v>0.33432870370370371</v>
      </c>
      <c r="D13" s="547">
        <v>0.37738425925925928</v>
      </c>
      <c r="E13" s="547"/>
      <c r="F13" s="548" t="s">
        <v>422</v>
      </c>
      <c r="G13" s="549">
        <v>50</v>
      </c>
      <c r="H13" s="550">
        <v>2190</v>
      </c>
      <c r="I13" s="551">
        <f>G13*H13</f>
        <v>109500</v>
      </c>
      <c r="J13" s="546" t="s">
        <v>389</v>
      </c>
      <c r="K13" s="664" t="s">
        <v>1167</v>
      </c>
      <c r="L13" s="546"/>
    </row>
    <row r="14" spans="1:12" s="552" customFormat="1" ht="27" customHeight="1" x14ac:dyDescent="0.35">
      <c r="A14" s="546">
        <v>4</v>
      </c>
      <c r="B14" s="546" t="s">
        <v>429</v>
      </c>
      <c r="C14" s="547">
        <v>0.58432870370370371</v>
      </c>
      <c r="D14" s="547">
        <v>0.75307870370370367</v>
      </c>
      <c r="E14" s="547"/>
      <c r="F14" s="548" t="s">
        <v>430</v>
      </c>
      <c r="G14" s="549">
        <v>1</v>
      </c>
      <c r="H14" s="550">
        <v>267500</v>
      </c>
      <c r="I14" s="551">
        <f t="shared" si="0"/>
        <v>267500</v>
      </c>
      <c r="J14" s="546" t="s">
        <v>35</v>
      </c>
      <c r="K14" s="599" t="s">
        <v>1170</v>
      </c>
      <c r="L14" s="553" t="s">
        <v>66</v>
      </c>
    </row>
    <row r="15" spans="1:12" s="552" customFormat="1" ht="27" customHeight="1" x14ac:dyDescent="0.35">
      <c r="A15" s="546">
        <v>5</v>
      </c>
      <c r="B15" s="546" t="s">
        <v>489</v>
      </c>
      <c r="C15" s="547" t="s">
        <v>158</v>
      </c>
      <c r="D15" s="564" t="s">
        <v>490</v>
      </c>
      <c r="E15" s="564"/>
      <c r="F15" s="548" t="s">
        <v>702</v>
      </c>
      <c r="G15" s="549">
        <v>1</v>
      </c>
      <c r="H15" s="550">
        <v>171490</v>
      </c>
      <c r="I15" s="551">
        <f t="shared" si="0"/>
        <v>171490</v>
      </c>
      <c r="J15" s="546" t="s">
        <v>127</v>
      </c>
      <c r="K15" s="262" t="s">
        <v>1167</v>
      </c>
      <c r="L15" s="555" t="s">
        <v>66</v>
      </c>
    </row>
    <row r="16" spans="1:12" s="552" customFormat="1" ht="27" customHeight="1" x14ac:dyDescent="0.35">
      <c r="A16" s="546">
        <v>6</v>
      </c>
      <c r="B16" s="262" t="s">
        <v>541</v>
      </c>
      <c r="C16" s="263" t="s">
        <v>356</v>
      </c>
      <c r="D16" s="263" t="s">
        <v>542</v>
      </c>
      <c r="E16" s="546"/>
      <c r="F16" s="548" t="s">
        <v>703</v>
      </c>
      <c r="G16" s="549">
        <v>2</v>
      </c>
      <c r="H16" s="550">
        <v>169500</v>
      </c>
      <c r="I16" s="551">
        <f t="shared" si="0"/>
        <v>339000</v>
      </c>
      <c r="J16" s="546" t="s">
        <v>127</v>
      </c>
      <c r="K16" s="262" t="s">
        <v>1167</v>
      </c>
      <c r="L16" s="555" t="s">
        <v>66</v>
      </c>
    </row>
    <row r="17" spans="1:12" s="554" customFormat="1" ht="27" customHeight="1" x14ac:dyDescent="0.35">
      <c r="A17" s="546"/>
      <c r="B17" s="546"/>
      <c r="C17" s="547"/>
      <c r="D17" s="547"/>
      <c r="E17" s="547"/>
      <c r="F17" s="548" t="s">
        <v>536</v>
      </c>
      <c r="G17" s="549">
        <v>3</v>
      </c>
      <c r="H17" s="550">
        <v>8280</v>
      </c>
      <c r="I17" s="551">
        <f t="shared" si="0"/>
        <v>24840</v>
      </c>
      <c r="J17" s="546" t="s">
        <v>127</v>
      </c>
      <c r="K17" s="262" t="s">
        <v>1167</v>
      </c>
      <c r="L17" s="555" t="s">
        <v>66</v>
      </c>
    </row>
    <row r="18" spans="1:12" s="554" customFormat="1" ht="27" customHeight="1" x14ac:dyDescent="0.35">
      <c r="A18" s="546"/>
      <c r="B18" s="546"/>
      <c r="C18" s="547"/>
      <c r="D18" s="547"/>
      <c r="E18" s="547"/>
      <c r="F18" s="548" t="s">
        <v>537</v>
      </c>
      <c r="G18" s="549">
        <v>2</v>
      </c>
      <c r="H18" s="550">
        <v>12969</v>
      </c>
      <c r="I18" s="551">
        <f t="shared" si="0"/>
        <v>25938</v>
      </c>
      <c r="J18" s="546" t="s">
        <v>127</v>
      </c>
      <c r="K18" s="262" t="s">
        <v>1167</v>
      </c>
      <c r="L18" s="555" t="s">
        <v>66</v>
      </c>
    </row>
    <row r="19" spans="1:12" s="554" customFormat="1" ht="27" customHeight="1" x14ac:dyDescent="0.35">
      <c r="A19" s="546"/>
      <c r="B19" s="546"/>
      <c r="C19" s="547"/>
      <c r="D19" s="547"/>
      <c r="E19" s="547"/>
      <c r="F19" s="548" t="s">
        <v>538</v>
      </c>
      <c r="G19" s="549">
        <v>2</v>
      </c>
      <c r="H19" s="550">
        <v>5907</v>
      </c>
      <c r="I19" s="551">
        <f t="shared" si="0"/>
        <v>11814</v>
      </c>
      <c r="J19" s="546" t="s">
        <v>127</v>
      </c>
      <c r="K19" s="262" t="s">
        <v>1167</v>
      </c>
      <c r="L19" s="555" t="s">
        <v>66</v>
      </c>
    </row>
    <row r="20" spans="1:12" s="554" customFormat="1" ht="27" customHeight="1" x14ac:dyDescent="0.35">
      <c r="A20" s="546"/>
      <c r="B20" s="546"/>
      <c r="C20" s="547"/>
      <c r="D20" s="547"/>
      <c r="E20" s="547"/>
      <c r="F20" s="548" t="s">
        <v>539</v>
      </c>
      <c r="G20" s="549">
        <v>2</v>
      </c>
      <c r="H20" s="550">
        <v>6228</v>
      </c>
      <c r="I20" s="551">
        <f t="shared" si="0"/>
        <v>12456</v>
      </c>
      <c r="J20" s="546" t="s">
        <v>127</v>
      </c>
      <c r="K20" s="262" t="s">
        <v>1167</v>
      </c>
      <c r="L20" s="555" t="s">
        <v>66</v>
      </c>
    </row>
    <row r="21" spans="1:12" s="554" customFormat="1" ht="27" customHeight="1" x14ac:dyDescent="0.35">
      <c r="A21" s="546"/>
      <c r="B21" s="546"/>
      <c r="C21" s="547"/>
      <c r="D21" s="547"/>
      <c r="E21" s="547"/>
      <c r="F21" s="548" t="s">
        <v>540</v>
      </c>
      <c r="G21" s="549">
        <v>1</v>
      </c>
      <c r="H21" s="550">
        <v>17411</v>
      </c>
      <c r="I21" s="551">
        <f t="shared" si="0"/>
        <v>17411</v>
      </c>
      <c r="J21" s="546" t="s">
        <v>127</v>
      </c>
      <c r="K21" s="262" t="s">
        <v>1167</v>
      </c>
      <c r="L21" s="555" t="s">
        <v>66</v>
      </c>
    </row>
    <row r="22" spans="1:12" s="554" customFormat="1" ht="27" customHeight="1" x14ac:dyDescent="0.35">
      <c r="A22" s="546"/>
      <c r="B22" s="546"/>
      <c r="C22" s="547"/>
      <c r="D22" s="547"/>
      <c r="E22" s="547"/>
      <c r="F22" s="548" t="s">
        <v>522</v>
      </c>
      <c r="G22" s="549">
        <v>3</v>
      </c>
      <c r="H22" s="550">
        <v>9425</v>
      </c>
      <c r="I22" s="551">
        <f t="shared" si="0"/>
        <v>28275</v>
      </c>
      <c r="J22" s="546" t="s">
        <v>127</v>
      </c>
      <c r="K22" s="262" t="s">
        <v>1167</v>
      </c>
      <c r="L22" s="555" t="s">
        <v>66</v>
      </c>
    </row>
    <row r="23" spans="1:12" s="554" customFormat="1" ht="27" customHeight="1" x14ac:dyDescent="0.35">
      <c r="A23" s="546"/>
      <c r="B23" s="546"/>
      <c r="C23" s="547"/>
      <c r="D23" s="547"/>
      <c r="E23" s="547"/>
      <c r="F23" s="548" t="s">
        <v>523</v>
      </c>
      <c r="G23" s="549">
        <v>1</v>
      </c>
      <c r="H23" s="550">
        <v>8680</v>
      </c>
      <c r="I23" s="551">
        <f t="shared" si="0"/>
        <v>8680</v>
      </c>
      <c r="J23" s="546" t="s">
        <v>127</v>
      </c>
      <c r="K23" s="262" t="s">
        <v>1167</v>
      </c>
      <c r="L23" s="555" t="s">
        <v>66</v>
      </c>
    </row>
    <row r="24" spans="1:12" s="554" customFormat="1" ht="27" customHeight="1" x14ac:dyDescent="0.35">
      <c r="A24" s="546"/>
      <c r="B24" s="546"/>
      <c r="C24" s="547"/>
      <c r="D24" s="547"/>
      <c r="E24" s="547"/>
      <c r="F24" s="548" t="s">
        <v>524</v>
      </c>
      <c r="G24" s="549">
        <v>6</v>
      </c>
      <c r="H24" s="550">
        <v>6113</v>
      </c>
      <c r="I24" s="551">
        <f t="shared" si="0"/>
        <v>36678</v>
      </c>
      <c r="J24" s="546" t="s">
        <v>127</v>
      </c>
      <c r="K24" s="262" t="s">
        <v>1167</v>
      </c>
      <c r="L24" s="555" t="s">
        <v>66</v>
      </c>
    </row>
    <row r="25" spans="1:12" s="554" customFormat="1" ht="27" customHeight="1" x14ac:dyDescent="0.35">
      <c r="A25" s="546"/>
      <c r="B25" s="546"/>
      <c r="C25" s="547"/>
      <c r="D25" s="547"/>
      <c r="E25" s="547"/>
      <c r="F25" s="548" t="s">
        <v>525</v>
      </c>
      <c r="G25" s="549">
        <v>2</v>
      </c>
      <c r="H25" s="550">
        <v>17792</v>
      </c>
      <c r="I25" s="551">
        <f t="shared" si="0"/>
        <v>35584</v>
      </c>
      <c r="J25" s="546" t="s">
        <v>127</v>
      </c>
      <c r="K25" s="262" t="s">
        <v>1167</v>
      </c>
      <c r="L25" s="555" t="s">
        <v>66</v>
      </c>
    </row>
    <row r="26" spans="1:12" s="552" customFormat="1" ht="27" customHeight="1" x14ac:dyDescent="0.35">
      <c r="A26" s="546">
        <v>7</v>
      </c>
      <c r="B26" s="546" t="s">
        <v>566</v>
      </c>
      <c r="C26" s="547" t="s">
        <v>191</v>
      </c>
      <c r="D26" s="547">
        <v>4.5439814814814815E-2</v>
      </c>
      <c r="E26" s="547" t="s">
        <v>567</v>
      </c>
      <c r="F26" s="548" t="s">
        <v>422</v>
      </c>
      <c r="G26" s="549">
        <v>450</v>
      </c>
      <c r="H26" s="550">
        <v>1950</v>
      </c>
      <c r="I26" s="551">
        <f t="shared" si="0"/>
        <v>877500</v>
      </c>
      <c r="J26" s="546" t="s">
        <v>802</v>
      </c>
      <c r="K26" s="262" t="s">
        <v>1167</v>
      </c>
      <c r="L26" s="546"/>
    </row>
    <row r="27" spans="1:12" s="552" customFormat="1" ht="27" customHeight="1" x14ac:dyDescent="0.35">
      <c r="A27" s="546">
        <v>8</v>
      </c>
      <c r="B27" s="546" t="s">
        <v>621</v>
      </c>
      <c r="C27" s="547">
        <v>0.1683564814814815</v>
      </c>
      <c r="D27" s="547">
        <v>0.83780092592592592</v>
      </c>
      <c r="E27" s="547"/>
      <c r="F27" s="548" t="s">
        <v>596</v>
      </c>
      <c r="G27" s="549">
        <v>1</v>
      </c>
      <c r="H27" s="550">
        <v>563318</v>
      </c>
      <c r="I27" s="551">
        <f t="shared" si="0"/>
        <v>563318</v>
      </c>
      <c r="J27" s="546" t="s">
        <v>65</v>
      </c>
      <c r="K27" s="262" t="s">
        <v>1167</v>
      </c>
      <c r="L27" s="54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INCOMING PO</vt:lpstr>
      <vt:lpstr>OUTGOING PO</vt:lpstr>
      <vt:lpstr>SANKALP</vt:lpstr>
      <vt:lpstr>TATA STEEL</vt:lpstr>
      <vt:lpstr>Yuken</vt:lpstr>
      <vt:lpstr>Sheet1</vt:lpstr>
      <vt:lpstr>Sheet2</vt:lpstr>
      <vt:lpstr>Sheet3</vt:lpstr>
      <vt:lpstr>'INCOMING PO'!Print_Area</vt:lpstr>
      <vt:lpstr>'INCOMING PO'!Print_Titles</vt:lpstr>
      <vt:lpstr>'OUTGOING PO'!Print_Titles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HCL</dc:creator>
  <cp:lastModifiedBy>VIKASH GOYAL</cp:lastModifiedBy>
  <cp:lastPrinted>2026-03-26T06:43:02Z</cp:lastPrinted>
  <dcterms:created xsi:type="dcterms:W3CDTF">2013-05-11T05:22:12Z</dcterms:created>
  <dcterms:modified xsi:type="dcterms:W3CDTF">2026-04-07T11:51:54Z</dcterms:modified>
</cp:coreProperties>
</file>